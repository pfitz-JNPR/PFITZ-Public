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fitzgerald/Tools/Forrester Based TCO Estimator/"/>
    </mc:Choice>
  </mc:AlternateContent>
  <xr:revisionPtr revIDLastSave="0" documentId="13_ncr:1_{7024AF0E-9081-7A46-9FA5-79C0F21D2F7B}" xr6:coauthVersionLast="47" xr6:coauthVersionMax="47" xr10:uidLastSave="{00000000-0000-0000-0000-000000000000}"/>
  <bookViews>
    <workbookView xWindow="60160" yWindow="500" windowWidth="44500" windowHeight="31720" xr2:uid="{2595278E-4E58-AD40-AD63-85FA72887330}"/>
  </bookViews>
  <sheets>
    <sheet name="Forrester TCO" sheetId="1" r:id="rId1"/>
    <sheet name="Pictures worth 1000 words" sheetId="4" r:id="rId2"/>
    <sheet name="Cost Breakdown" sheetId="6" r:id="rId3"/>
    <sheet name="Monthly Recurring" sheetId="8" r:id="rId4"/>
    <sheet name="MRR-Estimator" sheetId="14" r:id="rId5"/>
    <sheet name="Aditional Revenue Streams" sheetId="9" r:id="rId6"/>
    <sheet name="Assumptions" sheetId="5" r:id="rId7"/>
    <sheet name="Chart Worksheet" sheetId="3" r:id="rId8"/>
    <sheet name="Wireless Assurance" sheetId="12" state="hidden" r:id="rId9"/>
    <sheet name="Wired Assurance" sheetId="11" state="hidden" r:id="rId10"/>
    <sheet name="WAN Assurance" sheetId="10" state="hidden" r:id="rId11"/>
  </sheets>
  <externalReferences>
    <externalReference r:id="rId12"/>
  </externalReferences>
  <definedNames>
    <definedName name="APAmt">'Cost Breakdown'!$C$17</definedName>
    <definedName name="APAnlSub">Assumptions!$A$35</definedName>
    <definedName name="APIoTSuB">Assumptions!$A$36</definedName>
    <definedName name="APLocDen">Assumptions!$A$37</definedName>
    <definedName name="APLocSub">Assumptions!$A$34</definedName>
    <definedName name="APPcnt">'Cost Breakdown'!$C$7</definedName>
    <definedName name="APQty">'Cost Breakdown'!$D$7</definedName>
    <definedName name="AvgLANPPR">Assumptions!$A$45</definedName>
    <definedName name="AvgSWPrt">Assumptions!$A$43</definedName>
    <definedName name="AvgSWPUse">Assumptions!$A$44</definedName>
    <definedName name="AvgTktCst">Assumptions!#REF!</definedName>
    <definedName name="AvgTktSlv">Assumptions!$A$32</definedName>
    <definedName name="AvgUsrImp">Assumptions!$A$18</definedName>
    <definedName name="AvgUsrRte">Assumptions!$A$25</definedName>
    <definedName name="AvgWANPPR">Assumptions!$A$46</definedName>
    <definedName name="BizImpHr">Assumptions!$A$27</definedName>
    <definedName name="CMPTkt">'Forrester TCO'!$D$27</definedName>
    <definedName name="CstTrkRol">Assumptions!#REF!</definedName>
    <definedName name="CustInstall">Assumptions!$A$6</definedName>
    <definedName name="CustMgmt">Assumptions!$A$11</definedName>
    <definedName name="Deploy">Assumptions!$A$8</definedName>
    <definedName name="DisScp">Assumptions!$A$21</definedName>
    <definedName name="DisScpEmp">Assumptions!$A$20</definedName>
    <definedName name="DisScpVis">Assumptions!$A$21</definedName>
    <definedName name="EduPct">Assumptions!$A$23</definedName>
    <definedName name="EngCst">Assumptions!$A$29</definedName>
    <definedName name="EngineerCost">Assumptions!$A$29</definedName>
    <definedName name="GWPcnt">'Cost Breakdown'!$C$8</definedName>
    <definedName name="GWQty">'Cost Breakdown'!$D$8</definedName>
    <definedName name="HDWMrg">'Monthly Recurring'!#REF!</definedName>
    <definedName name="IMPMrg">'Monthly Recurring'!#REF!</definedName>
    <definedName name="Install">Assumptions!$A$5</definedName>
    <definedName name="IntPct">Assumptions!$A$22</definedName>
    <definedName name="IOverhead">Assumptions!$A$7</definedName>
    <definedName name="JHDWMrg">'Monthly Recurring'!$C$2</definedName>
    <definedName name="JIMPMrg">'Monthly Recurring'!$D$2</definedName>
    <definedName name="JMGTMrg">'Monthly Recurring'!$E$2</definedName>
    <definedName name="JNPRHW">'Forrester TCO'!$C$6</definedName>
    <definedName name="JNPRTkt">'Forrester TCO'!$C$27</definedName>
    <definedName name="LANPPR">Assumptions!$A$45</definedName>
    <definedName name="LessVisits">Assumptions!$A$15</definedName>
    <definedName name="Management">Assumptions!$A$10</definedName>
    <definedName name="MGTMrg">'Monthly Recurring'!#REF!</definedName>
    <definedName name="MOverhead">Assumptions!$A$12</definedName>
    <definedName name="MstImpSvg">Assumptions!#REF!</definedName>
    <definedName name="NaaSPct">Assumptions!$A$16</definedName>
    <definedName name="OnSite">Assumptions!$A$30</definedName>
    <definedName name="OthPcnt">'Cost Breakdown'!$C$9</definedName>
    <definedName name="OthQty">'Cost Breakdown'!$D$9</definedName>
    <definedName name="PcntPrtUse">Assumptions!$A$47</definedName>
    <definedName name="PctLesRol">Assumptions!#REF!</definedName>
    <definedName name="PctTktBiz">Assumptions!$A$24</definedName>
    <definedName name="PctTrkRol">Assumptions!#REF!</definedName>
    <definedName name="QalLstVis">Assumptions!$A$26</definedName>
    <definedName name="Solve">Assumptions!$A$14</definedName>
    <definedName name="SWAmt">'Cost Breakdown'!$C$14</definedName>
    <definedName name="SWPcnt">'Cost Breakdown'!$C$6</definedName>
    <definedName name="SWQty">'Cost Breakdown'!$D$6</definedName>
    <definedName name="Term">Assumptions!$A$19</definedName>
    <definedName name="Ticket">Assumptions!$A$13</definedName>
    <definedName name="TotCompMgt">'Forrester TCO'!$D$24</definedName>
    <definedName name="TotJNPRMgt">'Forrester TCO'!$C$24</definedName>
    <definedName name="TotSWPrt">'Cost Breakdown'!$E$6</definedName>
    <definedName name="TravelCst">Assumptions!$A$31</definedName>
    <definedName name="Visits">Assumptions!$A$15</definedName>
    <definedName name="WANPcnt">'Cost Breakdown'!$C$8</definedName>
    <definedName name="Years">[1]Assumptions!$A$4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4" i="9" l="1"/>
  <c r="D24" i="9"/>
  <c r="C7" i="1"/>
  <c r="A53" i="5"/>
  <c r="B19" i="8"/>
  <c r="B20" i="8" s="1"/>
  <c r="C9" i="9" s="1"/>
  <c r="B14" i="8"/>
  <c r="C8" i="9" s="1"/>
  <c r="B11" i="14" l="1"/>
  <c r="B10" i="14"/>
  <c r="B9" i="14"/>
  <c r="B8" i="14"/>
  <c r="D4" i="14"/>
  <c r="H23" i="3" l="1"/>
  <c r="E23" i="3"/>
  <c r="H22" i="3"/>
  <c r="G22" i="3"/>
  <c r="E22" i="3"/>
  <c r="H21" i="3"/>
  <c r="E21" i="3"/>
  <c r="H20" i="3"/>
  <c r="E20" i="3"/>
  <c r="B28" i="1" l="1"/>
  <c r="B29" i="1"/>
  <c r="B27" i="1"/>
  <c r="B13" i="3"/>
  <c r="I22" i="9"/>
  <c r="I21" i="9"/>
  <c r="I20" i="9"/>
  <c r="I19" i="9"/>
  <c r="I18" i="9"/>
  <c r="K21" i="9" l="1"/>
  <c r="K20" i="9"/>
  <c r="B18" i="1"/>
  <c r="B11" i="1"/>
  <c r="E8" i="10" l="1"/>
  <c r="F8" i="10" s="1"/>
  <c r="G8" i="10" s="1"/>
  <c r="E7" i="10"/>
  <c r="F7" i="10" s="1"/>
  <c r="G7" i="10" s="1"/>
  <c r="E6" i="10"/>
  <c r="F6" i="10" s="1"/>
  <c r="G6" i="10" s="1"/>
  <c r="E5" i="10"/>
  <c r="F5" i="10" s="1"/>
  <c r="G5" i="10" s="1"/>
  <c r="E8" i="11"/>
  <c r="F8" i="11" s="1"/>
  <c r="G8" i="11" s="1"/>
  <c r="E7" i="11"/>
  <c r="F7" i="11" s="1"/>
  <c r="G7" i="11" s="1"/>
  <c r="E6" i="11"/>
  <c r="F6" i="11" s="1"/>
  <c r="G6" i="11" s="1"/>
  <c r="E5" i="11"/>
  <c r="F5" i="11" s="1"/>
  <c r="G5" i="11" s="1"/>
  <c r="E7" i="12"/>
  <c r="F7" i="12" s="1"/>
  <c r="G7" i="12" s="1"/>
  <c r="E6" i="12"/>
  <c r="F6" i="12" s="1"/>
  <c r="G6" i="12" s="1"/>
  <c r="E21" i="11"/>
  <c r="E36" i="12"/>
  <c r="F33" i="12"/>
  <c r="F32" i="12"/>
  <c r="G32" i="12" s="1"/>
  <c r="F31" i="12"/>
  <c r="G31" i="12" s="1"/>
  <c r="F30" i="12"/>
  <c r="G30" i="12" s="1"/>
  <c r="F29" i="12"/>
  <c r="G29" i="12" s="1"/>
  <c r="F28" i="12"/>
  <c r="G28" i="12" s="1"/>
  <c r="F27" i="12"/>
  <c r="G27" i="12" s="1"/>
  <c r="F26" i="12"/>
  <c r="G26" i="12" s="1"/>
  <c r="F25" i="12"/>
  <c r="G25" i="12" s="1"/>
  <c r="F24" i="12"/>
  <c r="G24" i="12" s="1"/>
  <c r="F23" i="12"/>
  <c r="G23" i="12" s="1"/>
  <c r="F22" i="12"/>
  <c r="G22" i="12" s="1"/>
  <c r="F21" i="12"/>
  <c r="G21" i="12" s="1"/>
  <c r="F20" i="12"/>
  <c r="G20" i="12" s="1"/>
  <c r="F19" i="12"/>
  <c r="G19" i="12" s="1"/>
  <c r="F18" i="12"/>
  <c r="G18" i="12" s="1"/>
  <c r="F17" i="12"/>
  <c r="F16" i="12"/>
  <c r="F15" i="12"/>
  <c r="F14" i="12"/>
  <c r="F13" i="12"/>
  <c r="B32" i="10" l="1"/>
  <c r="B50" i="12"/>
  <c r="B35" i="11"/>
  <c r="B49" i="12" l="1"/>
  <c r="B48" i="12"/>
  <c r="B47" i="12"/>
  <c r="B46" i="12"/>
  <c r="D37" i="12"/>
  <c r="E37" i="12" s="1"/>
  <c r="F37" i="12" s="1"/>
  <c r="G37" i="12" s="1"/>
  <c r="F36" i="12"/>
  <c r="G36" i="12" s="1"/>
  <c r="C35" i="12"/>
  <c r="G33" i="12"/>
  <c r="G17" i="12"/>
  <c r="G16" i="12"/>
  <c r="G15" i="12"/>
  <c r="G14" i="12"/>
  <c r="G13" i="12"/>
  <c r="F12" i="12"/>
  <c r="G12" i="12" s="1"/>
  <c r="E8" i="12"/>
  <c r="F8" i="12" s="1"/>
  <c r="G8" i="12" s="1"/>
  <c r="E5" i="12"/>
  <c r="F5" i="12" s="1"/>
  <c r="G5" i="12" s="1"/>
  <c r="B31" i="10"/>
  <c r="B34" i="11"/>
  <c r="B30" i="10"/>
  <c r="B33" i="11"/>
  <c r="B28" i="10"/>
  <c r="B31" i="11"/>
  <c r="B29" i="10"/>
  <c r="B32" i="11"/>
  <c r="G11" i="12" l="1"/>
  <c r="D35" i="12"/>
  <c r="E35" i="12" s="1"/>
  <c r="F35" i="12" s="1"/>
  <c r="E18" i="11"/>
  <c r="E14" i="11"/>
  <c r="E13" i="11"/>
  <c r="E17" i="11"/>
  <c r="E16" i="11"/>
  <c r="E15" i="11"/>
  <c r="E12" i="11"/>
  <c r="G35" i="12" l="1"/>
  <c r="G34" i="12" s="1"/>
  <c r="D19" i="10"/>
  <c r="E19" i="10" s="1"/>
  <c r="F19" i="10" s="1"/>
  <c r="C18" i="10"/>
  <c r="E17" i="10"/>
  <c r="F17" i="10" s="1"/>
  <c r="E16" i="10"/>
  <c r="F16" i="10" s="1"/>
  <c r="E13" i="10"/>
  <c r="F13" i="10" s="1"/>
  <c r="D22" i="11"/>
  <c r="E22" i="11" s="1"/>
  <c r="F22" i="11" s="1"/>
  <c r="G22" i="11" s="1"/>
  <c r="C20" i="11"/>
  <c r="D20" i="11" s="1"/>
  <c r="E20" i="11" s="1"/>
  <c r="F20" i="11" s="1"/>
  <c r="F18" i="11"/>
  <c r="F14" i="11"/>
  <c r="F16" i="11"/>
  <c r="B32" i="1"/>
  <c r="B58" i="1"/>
  <c r="B56" i="1"/>
  <c r="B47" i="1"/>
  <c r="B46" i="1"/>
  <c r="B45" i="1"/>
  <c r="B44" i="1"/>
  <c r="B42" i="1"/>
  <c r="B41" i="1"/>
  <c r="B40" i="1"/>
  <c r="C17" i="1"/>
  <c r="B24" i="1"/>
  <c r="B23" i="1"/>
  <c r="B22" i="1"/>
  <c r="B21" i="1"/>
  <c r="B14" i="1"/>
  <c r="B7" i="1"/>
  <c r="F3" i="3"/>
  <c r="F20" i="3" s="1"/>
  <c r="B9" i="8"/>
  <c r="B4" i="8"/>
  <c r="F26" i="3" l="1"/>
  <c r="F17" i="11"/>
  <c r="F13" i="11"/>
  <c r="G13" i="11" s="1"/>
  <c r="E14" i="10"/>
  <c r="G17" i="10"/>
  <c r="G16" i="11"/>
  <c r="G19" i="10"/>
  <c r="G13" i="10"/>
  <c r="G20" i="11"/>
  <c r="G16" i="10"/>
  <c r="G18" i="11"/>
  <c r="G14" i="11"/>
  <c r="E15" i="10"/>
  <c r="D18" i="10"/>
  <c r="E18" i="10" s="1"/>
  <c r="E12" i="10"/>
  <c r="F15" i="11"/>
  <c r="G4" i="6"/>
  <c r="I36" i="9"/>
  <c r="K36" i="9" s="1"/>
  <c r="I35" i="9"/>
  <c r="I34" i="9"/>
  <c r="K34" i="9" s="1"/>
  <c r="I33" i="9"/>
  <c r="K33" i="9" s="1"/>
  <c r="I32" i="9"/>
  <c r="I29" i="9"/>
  <c r="K29" i="9" s="1"/>
  <c r="I28" i="9"/>
  <c r="K28" i="9" s="1"/>
  <c r="I27" i="9"/>
  <c r="K27" i="9" s="1"/>
  <c r="I26" i="9"/>
  <c r="I25" i="9"/>
  <c r="I17" i="9"/>
  <c r="B3" i="3"/>
  <c r="F32" i="3" l="1"/>
  <c r="F21" i="11"/>
  <c r="G21" i="11" s="1"/>
  <c r="G19" i="11" s="1"/>
  <c r="F12" i="11"/>
  <c r="G12" i="11" s="1"/>
  <c r="G15" i="11"/>
  <c r="G17" i="11"/>
  <c r="F18" i="10"/>
  <c r="G18" i="10" s="1"/>
  <c r="F15" i="10"/>
  <c r="G15" i="10" s="1"/>
  <c r="F14" i="10"/>
  <c r="G14" i="10" s="1"/>
  <c r="F12" i="10"/>
  <c r="G12" i="10" s="1"/>
  <c r="K35" i="9"/>
  <c r="G11" i="11" l="1"/>
  <c r="G11" i="10"/>
  <c r="E31" i="9"/>
  <c r="E24" i="9"/>
  <c r="E16" i="9"/>
  <c r="D31" i="9"/>
  <c r="C31" i="9"/>
  <c r="C16" i="9"/>
  <c r="D16" i="9"/>
  <c r="H40" i="9" l="1"/>
  <c r="D40" i="9"/>
  <c r="E40" i="9"/>
  <c r="I31" i="9"/>
  <c r="I24" i="9"/>
  <c r="I16" i="9"/>
  <c r="B40" i="5"/>
  <c r="A40" i="5" s="1"/>
  <c r="B15" i="8" l="1"/>
  <c r="G11" i="6"/>
  <c r="E12" i="6"/>
  <c r="I12" i="6"/>
  <c r="D7" i="1"/>
  <c r="D18" i="1" l="1"/>
  <c r="C18" i="1"/>
  <c r="D11" i="1"/>
  <c r="C11" i="1"/>
  <c r="C14" i="1" s="1"/>
  <c r="C27" i="1" l="1"/>
  <c r="C21" i="1"/>
  <c r="C22" i="1" s="1"/>
  <c r="D24" i="1"/>
  <c r="C7" i="3" s="1"/>
  <c r="D27" i="1"/>
  <c r="C4" i="3"/>
  <c r="G4" i="3"/>
  <c r="G21" i="3" s="1"/>
  <c r="F9" i="3"/>
  <c r="D56" i="1"/>
  <c r="C2" i="3"/>
  <c r="B7" i="3" l="1"/>
  <c r="E7" i="3" s="1"/>
  <c r="E10" i="3" s="1"/>
  <c r="B15" i="3"/>
  <c r="I21" i="6"/>
  <c r="I18" i="6" s="1"/>
  <c r="I19" i="6" s="1"/>
  <c r="I25" i="6" s="1"/>
  <c r="B9" i="3"/>
  <c r="E9" i="3" s="1"/>
  <c r="E26" i="3" s="1"/>
  <c r="E32" i="3" s="1"/>
  <c r="B4" i="3"/>
  <c r="F4" i="3"/>
  <c r="F21" i="3" s="1"/>
  <c r="C9" i="3"/>
  <c r="D9" i="3"/>
  <c r="G9" i="3"/>
  <c r="H9" i="3"/>
  <c r="D2" i="3"/>
  <c r="B2" i="3"/>
  <c r="E24" i="3" l="1"/>
  <c r="I13" i="6"/>
  <c r="I14" i="6" s="1"/>
  <c r="I15" i="6" s="1"/>
  <c r="I16" i="6"/>
  <c r="I17" i="6" s="1"/>
  <c r="D8" i="1"/>
  <c r="B17" i="3" s="1"/>
  <c r="C8" i="1"/>
  <c r="C17" i="3" s="1"/>
  <c r="G19" i="6" l="1"/>
  <c r="G17" i="6"/>
  <c r="C17" i="6"/>
  <c r="D8" i="14" s="1"/>
  <c r="C19" i="6"/>
  <c r="G14" i="6"/>
  <c r="G15" i="6" s="1"/>
  <c r="C14" i="6"/>
  <c r="C21" i="6"/>
  <c r="C20" i="6" s="1"/>
  <c r="C19" i="8" s="1"/>
  <c r="C20" i="8" s="1"/>
  <c r="G21" i="6"/>
  <c r="G18" i="6" s="1"/>
  <c r="B5" i="3"/>
  <c r="C3" i="3"/>
  <c r="G3" i="3"/>
  <c r="G20" i="3" s="1"/>
  <c r="F5" i="3"/>
  <c r="F22" i="3" s="1"/>
  <c r="C21" i="8" l="1"/>
  <c r="C22" i="8" s="1"/>
  <c r="D9" i="9"/>
  <c r="D11" i="14"/>
  <c r="D10" i="14"/>
  <c r="C15" i="6"/>
  <c r="D9" i="14"/>
  <c r="C13" i="6"/>
  <c r="C4" i="8" s="1"/>
  <c r="C16" i="6"/>
  <c r="C9" i="8" s="1"/>
  <c r="C18" i="6"/>
  <c r="C14" i="8" s="1"/>
  <c r="G16" i="6"/>
  <c r="G13" i="6"/>
  <c r="D15" i="1"/>
  <c r="C15" i="1"/>
  <c r="C15" i="8" l="1"/>
  <c r="C6" i="3"/>
  <c r="D7" i="3" s="1"/>
  <c r="B16" i="3"/>
  <c r="G6" i="3"/>
  <c r="G23" i="3" s="1"/>
  <c r="C16" i="3"/>
  <c r="D32" i="1"/>
  <c r="H21" i="6"/>
  <c r="H18" i="6" s="1"/>
  <c r="H19" i="6" s="1"/>
  <c r="B6" i="3"/>
  <c r="D21" i="6"/>
  <c r="B5" i="8"/>
  <c r="B10" i="8"/>
  <c r="C10" i="8"/>
  <c r="D6" i="9" s="1"/>
  <c r="D16" i="3" l="1"/>
  <c r="C16" i="8"/>
  <c r="C17" i="8" s="1"/>
  <c r="D8" i="9"/>
  <c r="D29" i="1"/>
  <c r="D30" i="1" s="1"/>
  <c r="C6" i="9"/>
  <c r="F32" i="9" s="1"/>
  <c r="H32" i="9" s="1"/>
  <c r="J32" i="9" s="1"/>
  <c r="K32" i="9" s="1"/>
  <c r="D42" i="1"/>
  <c r="D18" i="6"/>
  <c r="D20" i="6"/>
  <c r="D16" i="6"/>
  <c r="D17" i="6" s="1"/>
  <c r="E8" i="14" s="1"/>
  <c r="H16" i="6"/>
  <c r="H17" i="6" s="1"/>
  <c r="H13" i="6"/>
  <c r="C7" i="9"/>
  <c r="D41" i="1"/>
  <c r="D13" i="6"/>
  <c r="D14" i="6" s="1"/>
  <c r="E9" i="14" s="1"/>
  <c r="I23" i="6"/>
  <c r="C11" i="8"/>
  <c r="C12" i="8" s="1"/>
  <c r="C5" i="8"/>
  <c r="B27" i="8"/>
  <c r="E11" i="14" l="1"/>
  <c r="D19" i="8"/>
  <c r="D20" i="8" s="1"/>
  <c r="D19" i="6"/>
  <c r="D40" i="1"/>
  <c r="D47" i="1" s="1"/>
  <c r="H14" i="6"/>
  <c r="H15" i="6" s="1"/>
  <c r="D15" i="6"/>
  <c r="D4" i="8"/>
  <c r="F28" i="9"/>
  <c r="H28" i="9" s="1"/>
  <c r="J28" i="9" s="1"/>
  <c r="F26" i="9"/>
  <c r="H26" i="9" s="1"/>
  <c r="J26" i="9" s="1"/>
  <c r="K26" i="9" s="1"/>
  <c r="F33" i="9"/>
  <c r="H33" i="9" s="1"/>
  <c r="J33" i="9" s="1"/>
  <c r="F34" i="9"/>
  <c r="H34" i="9" s="1"/>
  <c r="J34" i="9" s="1"/>
  <c r="F27" i="9"/>
  <c r="H27" i="9" s="1"/>
  <c r="J27" i="9" s="1"/>
  <c r="F29" i="9"/>
  <c r="H29" i="9" s="1"/>
  <c r="J29" i="9" s="1"/>
  <c r="F35" i="9"/>
  <c r="H35" i="9" s="1"/>
  <c r="J35" i="9" s="1"/>
  <c r="F25" i="9"/>
  <c r="H25" i="9" s="1"/>
  <c r="J25" i="9" s="1"/>
  <c r="K25" i="9" s="1"/>
  <c r="F36" i="9"/>
  <c r="H36" i="9" s="1"/>
  <c r="J36" i="9" s="1"/>
  <c r="C6" i="8"/>
  <c r="D7" i="9"/>
  <c r="C27" i="8"/>
  <c r="D27" i="8" s="1"/>
  <c r="I22" i="6"/>
  <c r="I24" i="6"/>
  <c r="D10" i="3"/>
  <c r="C10" i="3"/>
  <c r="B10" i="3"/>
  <c r="D14" i="8" l="1"/>
  <c r="D15" i="8" s="1"/>
  <c r="E10" i="14"/>
  <c r="E9" i="9"/>
  <c r="D21" i="8"/>
  <c r="D22" i="8" s="1"/>
  <c r="B14" i="3"/>
  <c r="C24" i="8"/>
  <c r="C7" i="8"/>
  <c r="D9" i="8"/>
  <c r="D10" i="8" s="1"/>
  <c r="D5" i="8"/>
  <c r="E7" i="9" s="1"/>
  <c r="F24" i="9"/>
  <c r="F31" i="9"/>
  <c r="J31" i="9"/>
  <c r="K31" i="9" s="1"/>
  <c r="J24" i="9"/>
  <c r="K24" i="9" s="1"/>
  <c r="C8" i="3"/>
  <c r="D8" i="3"/>
  <c r="B8" i="3"/>
  <c r="E8" i="3" s="1"/>
  <c r="E25" i="3" s="1"/>
  <c r="E27" i="3" s="1"/>
  <c r="E31" i="3" s="1"/>
  <c r="D58" i="1"/>
  <c r="E27" i="8"/>
  <c r="H31" i="9"/>
  <c r="D10" i="9"/>
  <c r="D16" i="8" l="1"/>
  <c r="D17" i="8" s="1"/>
  <c r="E8" i="9"/>
  <c r="E28" i="3"/>
  <c r="E33" i="3" s="1"/>
  <c r="B28" i="8"/>
  <c r="D11" i="8"/>
  <c r="D12" i="8" s="1"/>
  <c r="E6" i="9"/>
  <c r="C28" i="8"/>
  <c r="D6" i="8"/>
  <c r="D7" i="8" s="1"/>
  <c r="E10" i="9" l="1"/>
  <c r="D28" i="8"/>
  <c r="E28" i="8"/>
  <c r="D24" i="8"/>
  <c r="F6" i="3"/>
  <c r="F23" i="3" s="1"/>
  <c r="G24" i="9" l="1"/>
  <c r="G31" i="9"/>
  <c r="H24" i="9" l="1"/>
  <c r="E41" i="9" l="1"/>
  <c r="K22" i="9"/>
  <c r="K19" i="9"/>
  <c r="C29" i="1"/>
  <c r="C30" i="1" s="1"/>
  <c r="G27" i="11"/>
  <c r="G24" i="10"/>
  <c r="G42" i="12"/>
  <c r="G23" i="10"/>
  <c r="G26" i="11"/>
  <c r="C46" i="1"/>
  <c r="C45" i="1"/>
  <c r="G41" i="12"/>
  <c r="C42" i="1"/>
  <c r="C41" i="1"/>
  <c r="C44" i="1"/>
  <c r="C40" i="1"/>
  <c r="G22" i="10"/>
  <c r="G25" i="11"/>
  <c r="G40" i="12"/>
  <c r="C23" i="1"/>
  <c r="C24" i="1" s="1"/>
  <c r="G21" i="10" l="1"/>
  <c r="G28" i="10" s="1"/>
  <c r="G7" i="3"/>
  <c r="C32" i="1"/>
  <c r="C47" i="1"/>
  <c r="G39" i="12"/>
  <c r="G46" i="12" s="1"/>
  <c r="F7" i="3"/>
  <c r="G24" i="11"/>
  <c r="G31" i="11" s="1"/>
  <c r="C15" i="3"/>
  <c r="D15" i="3" s="1"/>
  <c r="E21" i="6"/>
  <c r="C34" i="1" l="1"/>
  <c r="G32" i="11"/>
  <c r="G34" i="11"/>
  <c r="G33" i="11"/>
  <c r="G47" i="12"/>
  <c r="G49" i="12"/>
  <c r="G48" i="12"/>
  <c r="G29" i="10"/>
  <c r="G31" i="10"/>
  <c r="G30" i="10"/>
  <c r="F10" i="3"/>
  <c r="F24" i="3"/>
  <c r="H7" i="3"/>
  <c r="G24" i="3"/>
  <c r="G26" i="3" s="1"/>
  <c r="C58" i="1"/>
  <c r="C49" i="1"/>
  <c r="G27" i="10"/>
  <c r="F8" i="3"/>
  <c r="F25" i="3" s="1"/>
  <c r="G8" i="3"/>
  <c r="G25" i="3" s="1"/>
  <c r="C14" i="3"/>
  <c r="D14" i="3" s="1"/>
  <c r="G10" i="3"/>
  <c r="G45" i="12"/>
  <c r="G30" i="11"/>
  <c r="H8" i="3"/>
  <c r="H25" i="3" s="1"/>
  <c r="E20" i="6"/>
  <c r="E13" i="6"/>
  <c r="E18" i="6"/>
  <c r="I8" i="9" s="1"/>
  <c r="E16" i="6"/>
  <c r="C60" i="1" l="1"/>
  <c r="C62" i="1" s="1"/>
  <c r="I9" i="9"/>
  <c r="F11" i="14"/>
  <c r="J11" i="14" s="1" a="1"/>
  <c r="J11" i="14" s="1"/>
  <c r="E19" i="8"/>
  <c r="G32" i="3"/>
  <c r="F27" i="3"/>
  <c r="F31" i="3" s="1"/>
  <c r="G33" i="10"/>
  <c r="G53" i="12" s="1"/>
  <c r="F53" i="12" s="1"/>
  <c r="G36" i="11"/>
  <c r="F36" i="11" s="1"/>
  <c r="G51" i="12"/>
  <c r="G34" i="10" s="1"/>
  <c r="F34" i="10" s="1"/>
  <c r="G27" i="3"/>
  <c r="G31" i="3" s="1"/>
  <c r="H10" i="3"/>
  <c r="H24" i="3"/>
  <c r="I6" i="9"/>
  <c r="E17" i="6"/>
  <c r="F8" i="14" s="1"/>
  <c r="J8" i="14" s="1" a="1"/>
  <c r="J8" i="14" s="1"/>
  <c r="E19" i="6"/>
  <c r="I7" i="9"/>
  <c r="E14" i="6"/>
  <c r="F9" i="14" s="1"/>
  <c r="J9" i="14" s="1" a="1"/>
  <c r="J9" i="14" s="1"/>
  <c r="E14" i="8" l="1"/>
  <c r="F14" i="8" s="1"/>
  <c r="H39" i="9" s="1"/>
  <c r="H41" i="9" s="1"/>
  <c r="F10" i="14"/>
  <c r="J10" i="14" s="1" a="1"/>
  <c r="J10" i="14" s="1"/>
  <c r="K10" i="14" s="1"/>
  <c r="H26" i="3"/>
  <c r="H32" i="3" s="1"/>
  <c r="F28" i="3"/>
  <c r="F33" i="3" s="1"/>
  <c r="G28" i="3"/>
  <c r="G33" i="3" s="1"/>
  <c r="K9" i="14"/>
  <c r="K8" i="14"/>
  <c r="F33" i="10"/>
  <c r="G38" i="11"/>
  <c r="F38" i="11" s="1"/>
  <c r="G35" i="10"/>
  <c r="F35" i="10" s="1"/>
  <c r="G52" i="12"/>
  <c r="F52" i="12" s="1"/>
  <c r="F51" i="12"/>
  <c r="G37" i="11"/>
  <c r="F37" i="11" s="1"/>
  <c r="E25" i="6"/>
  <c r="I10" i="9"/>
  <c r="E4" i="8"/>
  <c r="E22" i="6"/>
  <c r="E15" i="6"/>
  <c r="E9" i="8"/>
  <c r="E24" i="6"/>
  <c r="F18" i="9"/>
  <c r="F21" i="9"/>
  <c r="F17" i="9"/>
  <c r="F19" i="9"/>
  <c r="F20" i="9"/>
  <c r="F22" i="9"/>
  <c r="H27" i="3" l="1"/>
  <c r="H31" i="3" s="1"/>
  <c r="E15" i="8"/>
  <c r="F8" i="9" s="1"/>
  <c r="G8" i="9" s="1"/>
  <c r="H8" i="9" s="1"/>
  <c r="J8" i="9" s="1"/>
  <c r="K8" i="9" s="1"/>
  <c r="G36" i="10"/>
  <c r="F36" i="10" s="1"/>
  <c r="G54" i="12"/>
  <c r="F54" i="12" s="1"/>
  <c r="G39" i="11"/>
  <c r="F39" i="11" s="1"/>
  <c r="F16" i="9"/>
  <c r="F40" i="9" s="1"/>
  <c r="E10" i="8"/>
  <c r="F9" i="8"/>
  <c r="F39" i="9" s="1"/>
  <c r="G22" i="9"/>
  <c r="H22" i="9" s="1"/>
  <c r="J22" i="9" s="1"/>
  <c r="G21" i="9"/>
  <c r="H21" i="9" s="1"/>
  <c r="J21" i="9" s="1"/>
  <c r="G20" i="9"/>
  <c r="H20" i="9" s="1"/>
  <c r="J20" i="9" s="1"/>
  <c r="G17" i="9"/>
  <c r="G18" i="9"/>
  <c r="H18" i="9" s="1"/>
  <c r="J18" i="9" s="1"/>
  <c r="K18" i="9" s="1"/>
  <c r="E23" i="6"/>
  <c r="G19" i="9"/>
  <c r="H19" i="9" s="1"/>
  <c r="J19" i="9" s="1"/>
  <c r="E5" i="8"/>
  <c r="B29" i="8"/>
  <c r="B30" i="8" s="1"/>
  <c r="F4" i="8"/>
  <c r="G39" i="9" s="1"/>
  <c r="H28" i="3" l="1"/>
  <c r="H33" i="3" s="1"/>
  <c r="F15" i="8"/>
  <c r="E16" i="8"/>
  <c r="F16" i="8" s="1"/>
  <c r="E20" i="8"/>
  <c r="F9" i="9" s="1"/>
  <c r="G9" i="9" s="1"/>
  <c r="H9" i="9" s="1"/>
  <c r="J9" i="9" s="1"/>
  <c r="K9" i="9" s="1"/>
  <c r="F19" i="8"/>
  <c r="J13" i="14"/>
  <c r="K11" i="14"/>
  <c r="K13" i="14" s="1"/>
  <c r="K15" i="14" s="1"/>
  <c r="C29" i="8"/>
  <c r="D29" i="8" s="1"/>
  <c r="I39" i="9"/>
  <c r="G16" i="9"/>
  <c r="G40" i="9" s="1"/>
  <c r="G41" i="9" s="1"/>
  <c r="F41" i="9"/>
  <c r="F10" i="8"/>
  <c r="F6" i="9"/>
  <c r="E11" i="8"/>
  <c r="H17" i="9"/>
  <c r="E6" i="8"/>
  <c r="F7" i="9"/>
  <c r="G7" i="9" s="1"/>
  <c r="H7" i="9" s="1"/>
  <c r="F5" i="8"/>
  <c r="E17" i="8" l="1"/>
  <c r="E21" i="8"/>
  <c r="F20" i="8"/>
  <c r="K18" i="14"/>
  <c r="K16" i="14"/>
  <c r="J15" i="14"/>
  <c r="C30" i="8"/>
  <c r="D30" i="8" s="1"/>
  <c r="I41" i="9"/>
  <c r="I40" i="9"/>
  <c r="J40" i="9" s="1"/>
  <c r="K40" i="9" s="1"/>
  <c r="J7" i="9"/>
  <c r="K7" i="9" s="1"/>
  <c r="E7" i="8"/>
  <c r="F6" i="8"/>
  <c r="E29" i="8"/>
  <c r="E30" i="8" s="1"/>
  <c r="J17" i="9"/>
  <c r="H16" i="9"/>
  <c r="F11" i="8"/>
  <c r="E12" i="8"/>
  <c r="E24" i="8"/>
  <c r="F10" i="9"/>
  <c r="G10" i="9" s="1"/>
  <c r="G6" i="9"/>
  <c r="H6" i="9" s="1"/>
  <c r="F21" i="8" l="1"/>
  <c r="E22" i="8"/>
  <c r="K19" i="14"/>
  <c r="K21" i="14" s="1"/>
  <c r="J18" i="14"/>
  <c r="J16" i="14"/>
  <c r="J19" i="14" s="1"/>
  <c r="F24" i="8"/>
  <c r="D39" i="9" s="1"/>
  <c r="J39" i="9" s="1"/>
  <c r="K39" i="9" s="1"/>
  <c r="J16" i="9"/>
  <c r="K16" i="9" s="1"/>
  <c r="K17" i="9"/>
  <c r="J6" i="9"/>
  <c r="K6" i="9" s="1"/>
  <c r="H10" i="9"/>
  <c r="G18" i="14" l="1"/>
  <c r="G19" i="14" s="1"/>
  <c r="D18" i="14"/>
  <c r="D19" i="14" s="1"/>
  <c r="K22" i="14"/>
  <c r="J21" i="14"/>
  <c r="D41" i="9"/>
  <c r="J41" i="9" s="1"/>
  <c r="K41" i="9" s="1"/>
  <c r="J10" i="9"/>
  <c r="K10" i="9" s="1"/>
  <c r="J22" i="1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5" authorId="0" shapeId="0" xr:uid="{873085C3-E17D-654B-BF62-1E002AADB5E9}">
      <text>
        <r>
          <rPr>
            <b/>
            <sz val="10"/>
            <color rgb="FF000000"/>
            <rFont val="Tahoma"/>
            <family val="2"/>
          </rPr>
          <t>Compettitor Name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6" authorId="0" shapeId="0" xr:uid="{1A437EB6-8178-2A4A-ADB9-79674F16D958}">
      <text>
        <r>
          <rPr>
            <b/>
            <sz val="10"/>
            <color rgb="FF000000"/>
            <rFont val="Calibri"/>
            <family val="2"/>
          </rPr>
          <t xml:space="preserve">Enter the amount of the Juniper equipment and subscriptions here.  This should be either the cost to the partner, or price to the customer depending on the audience. 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D6" authorId="0" shapeId="0" xr:uid="{DEA4E481-B315-124B-8815-F31F17CAE3C2}">
      <text>
        <r>
          <rPr>
            <b/>
            <sz val="10"/>
            <color rgb="FF000000"/>
            <rFont val="Calibri"/>
            <family val="2"/>
          </rPr>
          <t xml:space="preserve">Enter the amount of the competitor's equipment and subscriptions here.  This should be either the cost to the partner, or price to the customer depending on the audience. 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6" authorId="0" shapeId="0" xr:uid="{98EC3D2C-5BE4-AC42-80EA-A2D72580CA71}">
      <text>
        <r>
          <rPr>
            <b/>
            <sz val="10"/>
            <color rgb="FF000000"/>
            <rFont val="Calibri"/>
            <family val="2"/>
          </rPr>
          <t>Divide the total amount for all Juniper switching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D6" authorId="0" shapeId="0" xr:uid="{1153E235-7C35-C044-B8EF-731D6A0F5D79}">
      <text>
        <r>
          <rPr>
            <b/>
            <sz val="10"/>
            <color rgb="FF000000"/>
            <rFont val="Tahoma"/>
            <family val="2"/>
          </rPr>
          <t xml:space="preserve">Total number of Juniper Switches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6" authorId="0" shapeId="0" xr:uid="{5C9AEB65-592B-924B-810D-21F3E2D89C92}">
      <text>
        <r>
          <rPr>
            <b/>
            <sz val="10"/>
            <color rgb="FF000000"/>
            <rFont val="Calibri"/>
            <family val="2"/>
          </rPr>
          <t>Divide the total amount for all Juniper switching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H6" authorId="0" shapeId="0" xr:uid="{FA4C2784-93FF-1B4A-B3F7-65829F77555C}">
      <text>
        <r>
          <rPr>
            <b/>
            <sz val="10"/>
            <color rgb="FF000000"/>
            <rFont val="Tahoma"/>
            <family val="2"/>
          </rPr>
          <t xml:space="preserve">Total number of Juniper Switches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7" authorId="0" shapeId="0" xr:uid="{4F924A6F-0D5B-2E45-BBA9-71AD41E2AADC}">
      <text>
        <r>
          <rPr>
            <b/>
            <sz val="10"/>
            <color rgb="FF000000"/>
            <rFont val="Calibri"/>
            <family val="2"/>
          </rPr>
          <t>Divide the total amount for all Juniper access points and associated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D7" authorId="0" shapeId="0" xr:uid="{6DF522AE-72AE-0048-AF1C-2EB2E8C83C66}">
      <text>
        <r>
          <rPr>
            <b/>
            <sz val="10"/>
            <color rgb="FF000000"/>
            <rFont val="Tahoma"/>
            <family val="2"/>
          </rPr>
          <t>Total number of Juniper Access Points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7" authorId="0" shapeId="0" xr:uid="{37F1B621-E604-8B45-8336-ED4B016B9339}">
      <text>
        <r>
          <rPr>
            <b/>
            <sz val="10"/>
            <color rgb="FF000000"/>
            <rFont val="Calibri"/>
            <family val="2"/>
          </rPr>
          <t>Divide the total amount for all Juniper access points and associated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H7" authorId="0" shapeId="0" xr:uid="{E0472F43-588A-AC4D-B764-CEE333CDA221}">
      <text>
        <r>
          <rPr>
            <b/>
            <sz val="10"/>
            <color rgb="FF000000"/>
            <rFont val="Tahoma"/>
            <family val="2"/>
          </rPr>
          <t>Total number of Juniper Access Points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8" authorId="0" shapeId="0" xr:uid="{A8C0F11D-CA99-9B46-A126-F15FAE13F962}">
      <text>
        <r>
          <rPr>
            <b/>
            <sz val="10"/>
            <color rgb="FF000000"/>
            <rFont val="Calibri"/>
            <family val="2"/>
          </rPr>
          <t>Divide the total amount for all Juniper access points and associated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D8" authorId="0" shapeId="0" xr:uid="{144522B8-5588-AD49-BD16-A9352A6D5196}">
      <text>
        <r>
          <rPr>
            <b/>
            <sz val="10"/>
            <color rgb="FF000000"/>
            <rFont val="Tahoma"/>
            <family val="2"/>
          </rPr>
          <t>Total number of Juniper Access Points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8" authorId="0" shapeId="0" xr:uid="{AE2F2B77-157D-0746-AB5A-AE0A5E104838}">
      <text>
        <r>
          <rPr>
            <b/>
            <sz val="10"/>
            <color rgb="FF000000"/>
            <rFont val="Calibri"/>
            <family val="2"/>
          </rPr>
          <t>Divide the total amount for all Juniper access points and associated compenents by the total Juniper bill of materials amount to get this percentage</t>
        </r>
        <r>
          <rPr>
            <sz val="10"/>
            <color rgb="FF000000"/>
            <rFont val="Calibri"/>
            <family val="2"/>
          </rPr>
          <t xml:space="preserve">
</t>
        </r>
      </text>
    </comment>
    <comment ref="H8" authorId="0" shapeId="0" xr:uid="{E6E2E2A7-E844-8A44-9A61-A8E790209122}">
      <text>
        <r>
          <rPr>
            <b/>
            <sz val="10"/>
            <color rgb="FF000000"/>
            <rFont val="Tahoma"/>
            <family val="2"/>
          </rPr>
          <t>Total number of Juniper Access Points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43" authorId="0" shapeId="0" xr:uid="{8BC8CCA9-C74F-524C-8839-2744F3EE965F}">
      <text>
        <r>
          <rPr>
            <b/>
            <sz val="10"/>
            <color rgb="FF000000"/>
            <rFont val="Tahoma"/>
            <family val="2"/>
          </rPr>
          <t xml:space="preserve">Divide the total switch ports by the total number of switches to get this average. 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<sst xmlns="http://schemas.openxmlformats.org/spreadsheetml/2006/main" count="489" uniqueCount="335">
  <si>
    <t>Value</t>
  </si>
  <si>
    <t>Initial Val</t>
  </si>
  <si>
    <t>Description</t>
  </si>
  <si>
    <t>Network Ticket Reduction with Mist</t>
  </si>
  <si>
    <t>Reduction in time to solve with Mist</t>
  </si>
  <si>
    <t>Juniper</t>
  </si>
  <si>
    <t>Implementation</t>
  </si>
  <si>
    <t>Total Implementation</t>
  </si>
  <si>
    <t>3 Years of Management</t>
  </si>
  <si>
    <t>Percentage of install that will not change based on Juniper efficiencies</t>
  </si>
  <si>
    <t>Percentage of management that will not change based on Juniper efficiencies</t>
  </si>
  <si>
    <t>Assumptions</t>
  </si>
  <si>
    <t>Total</t>
  </si>
  <si>
    <t>Capital Expense</t>
  </si>
  <si>
    <t>Interest / Cost of Money</t>
  </si>
  <si>
    <t>Education</t>
  </si>
  <si>
    <t>VAR installation based on % of hardware cost.  This is the middle of the industry range.</t>
  </si>
  <si>
    <t>Education as Percentage of hardware</t>
  </si>
  <si>
    <t>Customer Installation as Percentage uplift</t>
  </si>
  <si>
    <t>Customer management as uplift</t>
  </si>
  <si>
    <t>Juniper Resell</t>
  </si>
  <si>
    <t>Juniper NaaS</t>
  </si>
  <si>
    <t>Average End User Loaded Hourly Rate</t>
  </si>
  <si>
    <t>Average End User Impact, hours</t>
  </si>
  <si>
    <t>Date</t>
  </si>
  <si>
    <t>By</t>
  </si>
  <si>
    <t>Pete Fitzgerald</t>
  </si>
  <si>
    <t>Original Creation Date</t>
  </si>
  <si>
    <t>Version</t>
  </si>
  <si>
    <t>Added Graph Sheet</t>
  </si>
  <si>
    <t>Added Productivity calculation</t>
  </si>
  <si>
    <t>Juniper Managed</t>
  </si>
  <si>
    <t>Effiiciencies</t>
  </si>
  <si>
    <t>Efficiencies</t>
  </si>
  <si>
    <t>Licences (per year)</t>
  </si>
  <si>
    <t>Hosting fees (per year)</t>
  </si>
  <si>
    <t>Management (per year)</t>
  </si>
  <si>
    <t>Average time to solve a ticket, hours</t>
  </si>
  <si>
    <t>ROI</t>
  </si>
  <si>
    <t>Visitors Impacted Per Disruption</t>
  </si>
  <si>
    <t>Employees Impacted Per Disruption</t>
  </si>
  <si>
    <t>DisScpEmp</t>
  </si>
  <si>
    <t>Percentage tickets affecting business (health of patients, operations, etc.)</t>
  </si>
  <si>
    <t>BizImpHr</t>
  </si>
  <si>
    <t>Term/Years</t>
  </si>
  <si>
    <t>Legace Network Management</t>
  </si>
  <si>
    <t>Variable Name</t>
  </si>
  <si>
    <t>Install</t>
  </si>
  <si>
    <t>CustInstall</t>
  </si>
  <si>
    <t>IOverhead</t>
  </si>
  <si>
    <t>Management</t>
  </si>
  <si>
    <t>CustMgmt</t>
  </si>
  <si>
    <t>MOverhead</t>
  </si>
  <si>
    <t>Ticket</t>
  </si>
  <si>
    <t>Solve</t>
  </si>
  <si>
    <t>IntPct</t>
  </si>
  <si>
    <t>Deploy</t>
  </si>
  <si>
    <t>EduPct</t>
  </si>
  <si>
    <t>NaaSPct</t>
  </si>
  <si>
    <t>NaaS OEM Price Delta</t>
  </si>
  <si>
    <t>AvgTktCst</t>
  </si>
  <si>
    <t>AvgUsrRte</t>
  </si>
  <si>
    <t>AvgUsrImp</t>
  </si>
  <si>
    <t>AvgTktSlv</t>
  </si>
  <si>
    <t>DisScp</t>
  </si>
  <si>
    <t>PctTktBiz</t>
  </si>
  <si>
    <t>Term</t>
  </si>
  <si>
    <t>Ticket Data</t>
  </si>
  <si>
    <t>Implementation Data</t>
  </si>
  <si>
    <t>Management Data</t>
  </si>
  <si>
    <t>Customer / Visitor Data</t>
  </si>
  <si>
    <t>Percent faster to deploy (from 2h per AP to 0.5h per AP)</t>
  </si>
  <si>
    <t>Visitor / Customer perceived quality lost (per h)</t>
  </si>
  <si>
    <t>Additional impact of business disruption, etc. (per h)</t>
  </si>
  <si>
    <t>Included input from Raul around productivity and ROI</t>
  </si>
  <si>
    <t>Reduction times technitial travels to solve a ticket</t>
  </si>
  <si>
    <t>LessVisits</t>
  </si>
  <si>
    <t>EngCst</t>
  </si>
  <si>
    <t>Engineer Loaded Hourly Rate</t>
  </si>
  <si>
    <t>TravelCst</t>
  </si>
  <si>
    <t>Travel to solve cost</t>
  </si>
  <si>
    <t xml:space="preserve">Var management as % of HW cost. This is the lower end of the industry range for </t>
  </si>
  <si>
    <t>Average cost to solve a ticket</t>
  </si>
  <si>
    <t>% tickets need on site tehchnitians</t>
  </si>
  <si>
    <t>OnSite</t>
  </si>
  <si>
    <t>Per AP Per Month</t>
  </si>
  <si>
    <t>Per Sw Port Per Month</t>
  </si>
  <si>
    <t>Per Switch Per Month</t>
  </si>
  <si>
    <t>Per AP</t>
  </si>
  <si>
    <t>Wireless</t>
  </si>
  <si>
    <t>Per Switch Port</t>
  </si>
  <si>
    <t>Per Switch</t>
  </si>
  <si>
    <t>Switching</t>
  </si>
  <si>
    <t>Implement</t>
  </si>
  <si>
    <t>Hardware</t>
  </si>
  <si>
    <t>Other</t>
  </si>
  <si>
    <t>CAPEX / Equipment &amp; Subscriptions</t>
  </si>
  <si>
    <t>Streamlined Calculations, Added Breakdown</t>
  </si>
  <si>
    <t>Quantiuty</t>
  </si>
  <si>
    <t>Cost</t>
  </si>
  <si>
    <t>Margin</t>
  </si>
  <si>
    <t>Price</t>
  </si>
  <si>
    <t>Access Points</t>
  </si>
  <si>
    <t>Components</t>
  </si>
  <si>
    <t>MRR</t>
  </si>
  <si>
    <t>Total MRR</t>
  </si>
  <si>
    <t>Equipment</t>
  </si>
  <si>
    <t>/Unit</t>
  </si>
  <si>
    <t>Totals</t>
  </si>
  <si>
    <t>Switches</t>
  </si>
  <si>
    <t>Qty</t>
  </si>
  <si>
    <t>Manage</t>
  </si>
  <si>
    <t>Profit</t>
  </si>
  <si>
    <t>Component</t>
  </si>
  <si>
    <t>Service Description</t>
  </si>
  <si>
    <t>Additional Revenue Data</t>
  </si>
  <si>
    <t>APLocSub</t>
  </si>
  <si>
    <t>GPM</t>
  </si>
  <si>
    <t>AP Cost</t>
  </si>
  <si>
    <t>SW Cost</t>
  </si>
  <si>
    <t>Oth Cost</t>
  </si>
  <si>
    <t>Percent Higher Density with Location Services</t>
  </si>
  <si>
    <t>APLOocDen</t>
  </si>
  <si>
    <t>Total Cost</t>
  </si>
  <si>
    <t>% Total</t>
  </si>
  <si>
    <t>Asset Tracking</t>
  </si>
  <si>
    <t>Contact Tracing</t>
  </si>
  <si>
    <t>Proximity Services</t>
  </si>
  <si>
    <t>Contract</t>
  </si>
  <si>
    <t>Occupancy Analytics</t>
  </si>
  <si>
    <t>Location as a Services</t>
  </si>
  <si>
    <t>Customer Contact</t>
  </si>
  <si>
    <t>To Be Continued . . .</t>
  </si>
  <si>
    <t>~~~~~~~~~~~~~~~</t>
  </si>
  <si>
    <t>Analytics as a Service</t>
  </si>
  <si>
    <t>IOT Enablement as a Service</t>
  </si>
  <si>
    <t>Infrastructure Totals</t>
  </si>
  <si>
    <t>As A Service Totals</t>
  </si>
  <si>
    <t>Tot Price</t>
  </si>
  <si>
    <t>Tot Cost</t>
  </si>
  <si>
    <t>Final Totals</t>
  </si>
  <si>
    <t>IOT Security</t>
  </si>
  <si>
    <t>IOT Tracking</t>
  </si>
  <si>
    <t>IOT Experience</t>
  </si>
  <si>
    <t>Additional Revenue Streams Worksheet</t>
  </si>
  <si>
    <t>Base Infrastructure</t>
  </si>
  <si>
    <t>Additional Revenue Streams</t>
  </si>
  <si>
    <t>APAnlSub</t>
  </si>
  <si>
    <t>APIoTSub</t>
  </si>
  <si>
    <t>Xtra MRC</t>
  </si>
  <si>
    <t>Added the additional Revenue Worksheet</t>
  </si>
  <si>
    <t>Location Services Subscription / Per AP - Per Year</t>
  </si>
  <si>
    <t>Premium Analytics Subscription / Per AP - Per Year</t>
  </si>
  <si>
    <t>IoT Assurance Subscription  / Per AP - Per Year</t>
  </si>
  <si>
    <t>Partner</t>
  </si>
  <si>
    <t>Customer</t>
  </si>
  <si>
    <t>Implementation Cost</t>
  </si>
  <si>
    <t>Legacy Network Management Cost</t>
  </si>
  <si>
    <t>Employee/Business Productivity Cost</t>
  </si>
  <si>
    <t>Productivity Cost</t>
  </si>
  <si>
    <t>Do Nothing</t>
  </si>
  <si>
    <t>Productivity Efficiencies</t>
  </si>
  <si>
    <t>Modified the productivity cost section</t>
  </si>
  <si>
    <t>Markup</t>
  </si>
  <si>
    <r>
      <t xml:space="preserve">Equipment </t>
    </r>
    <r>
      <rPr>
        <b/>
        <sz val="12"/>
        <color theme="1"/>
        <rFont val="Calibri (Body)"/>
      </rPr>
      <t>Cost</t>
    </r>
  </si>
  <si>
    <t>Including Business Impact</t>
  </si>
  <si>
    <t>Ports</t>
  </si>
  <si>
    <t>W/O Mist (h)</t>
  </si>
  <si>
    <t>Mist (h)</t>
  </si>
  <si>
    <t>Total Savings</t>
  </si>
  <si>
    <t>DAY 0/1 (one time)</t>
  </si>
  <si>
    <t xml:space="preserve">From copy and paste to automate, 1h saved per router </t>
  </si>
  <si>
    <t>DAY 2 (yearly)</t>
  </si>
  <si>
    <t>Troubleshooting</t>
  </si>
  <si>
    <t>Bad cables</t>
  </si>
  <si>
    <t>2h troubleshooting saved, 0.5%, per port, per year</t>
  </si>
  <si>
    <t>Negotiating mismatch</t>
  </si>
  <si>
    <t>1h troubleshooting saved, 0.5%, per port, per year</t>
  </si>
  <si>
    <t>Loop detection</t>
  </si>
  <si>
    <t>4h troubleshooting saved, 2%, per switch, per year</t>
  </si>
  <si>
    <t>Missing VLAN</t>
  </si>
  <si>
    <t>1h troubleshooting saved, 1%, per port, per year</t>
  </si>
  <si>
    <t>Throughput</t>
  </si>
  <si>
    <t>2h troubleshooting saved, 5%, per port, per year</t>
  </si>
  <si>
    <t>Successful connect</t>
  </si>
  <si>
    <t>2h troubleshooting saved, 1%, per port, per year</t>
  </si>
  <si>
    <t>Switch health</t>
  </si>
  <si>
    <t>1h troubleshooting saved, 1%, per switch, per year</t>
  </si>
  <si>
    <t>Config / Management</t>
  </si>
  <si>
    <t>Device level changes</t>
  </si>
  <si>
    <t>10x by doing multiple configs in paralell, 10 mins each, 1 per Q</t>
  </si>
  <si>
    <t>Port level changes</t>
  </si>
  <si>
    <t>SW Updates</t>
  </si>
  <si>
    <t>10x by doing multiple SW upgrades in parallel, 1h each, per Y</t>
  </si>
  <si>
    <t>Enhanced Productivity</t>
  </si>
  <si>
    <t>Employees</t>
  </si>
  <si>
    <t>30 mins employees not affected per location per year (avoided disruption)</t>
  </si>
  <si>
    <t>30 mins extra per location per year (avoided disruption), @5%</t>
  </si>
  <si>
    <t>Savings per Router (h)</t>
  </si>
  <si>
    <t>Savings per Router ($)</t>
  </si>
  <si>
    <t>Total Savings ($)</t>
  </si>
  <si>
    <t>2h troubleshooting saved, 1%, per LAN port, per year</t>
  </si>
  <si>
    <t>MTU mismatch</t>
  </si>
  <si>
    <t>1h troubleshooting saved, 1%, per LAN port, per year</t>
  </si>
  <si>
    <t>Bad WAN uplink</t>
  </si>
  <si>
    <t>2h troubleshooting saved, 5%, per WAN port, twice year</t>
  </si>
  <si>
    <t>WAN edge health</t>
  </si>
  <si>
    <t>4h troubleshooting saved, 1%, per WAN port, per year</t>
  </si>
  <si>
    <t>WAN link health</t>
  </si>
  <si>
    <t>Application health</t>
  </si>
  <si>
    <t>5h troubleshooting saved, 1%, per router, per year</t>
  </si>
  <si>
    <t>10x by doing multiple SW upgrades in paralell, 1h each, per Y</t>
  </si>
  <si>
    <t>15 mins associates not affected per location per year (avoided disruption)</t>
  </si>
  <si>
    <t>15 mins extra sales per location per year (avoided disruption)</t>
  </si>
  <si>
    <t>AvgSWPrt</t>
  </si>
  <si>
    <t>Average ports per switch</t>
  </si>
  <si>
    <t>Cost Breakdown/Wired/WAN</t>
  </si>
  <si>
    <t>AvgSWPUse</t>
  </si>
  <si>
    <t>Average switch ports in use</t>
  </si>
  <si>
    <t>Average LAN Ports Per Router</t>
  </si>
  <si>
    <t>AvgLANPPR</t>
  </si>
  <si>
    <t>Average WAN Ports Per Router</t>
  </si>
  <si>
    <t>AvgWANPPR</t>
  </si>
  <si>
    <t>Percent of Ports Used</t>
  </si>
  <si>
    <t>PcntPrtUse</t>
  </si>
  <si>
    <t>WAN</t>
  </si>
  <si>
    <t>Devices</t>
  </si>
  <si>
    <t>Gateways</t>
  </si>
  <si>
    <t>% of Total</t>
  </si>
  <si>
    <t>Component Summary</t>
  </si>
  <si>
    <t>Juniper MIST WAN Assurance Savings</t>
  </si>
  <si>
    <t>Juniper MIST Wired Assurance Savings</t>
  </si>
  <si>
    <t>Savings for year 1</t>
  </si>
  <si>
    <t>Juniper MIST Wireless Assurance Savings</t>
  </si>
  <si>
    <t>From copy and paste to automate, 1h saved per switch</t>
  </si>
  <si>
    <t>Wired Assurance</t>
  </si>
  <si>
    <t>Wireless Assurance</t>
  </si>
  <si>
    <t>WAN Assurance</t>
  </si>
  <si>
    <t>Savings per AP (h)</t>
  </si>
  <si>
    <t>Savings per AP ($)</t>
  </si>
  <si>
    <t>Coverage</t>
  </si>
  <si>
    <t>Capacity</t>
  </si>
  <si>
    <t>Internet Services</t>
  </si>
  <si>
    <t>Authorization</t>
  </si>
  <si>
    <t>Association</t>
  </si>
  <si>
    <t>DHCP</t>
  </si>
  <si>
    <t>ARP</t>
  </si>
  <si>
    <t>DNS</t>
  </si>
  <si>
    <t>Weak Signal</t>
  </si>
  <si>
    <t>Latency</t>
  </si>
  <si>
    <t>Stability</t>
  </si>
  <si>
    <t>Signal Quality</t>
  </si>
  <si>
    <t>Network Issues</t>
  </si>
  <si>
    <t>Device Capability</t>
  </si>
  <si>
    <t>Client Count</t>
  </si>
  <si>
    <t>Non WiFi Interference</t>
  </si>
  <si>
    <t>Client Usage</t>
  </si>
  <si>
    <t>WiFi Interference</t>
  </si>
  <si>
    <t>Low Power</t>
  </si>
  <si>
    <t>AP Disconnected</t>
  </si>
  <si>
    <t>Ethernet</t>
  </si>
  <si>
    <t>Asymmetric Link</t>
  </si>
  <si>
    <t>AP level changes</t>
  </si>
  <si>
    <t>Visitors</t>
  </si>
  <si>
    <t>Business</t>
  </si>
  <si>
    <t>QalLstVis</t>
  </si>
  <si>
    <t>Daily changes individual devices (port level), 5 mins savings per port per day, .06% ports</t>
  </si>
  <si>
    <t>Plan</t>
  </si>
  <si>
    <t>Build</t>
  </si>
  <si>
    <t>Design</t>
  </si>
  <si>
    <t>Savings per SW (h)</t>
  </si>
  <si>
    <t>Savings per SW ($)</t>
  </si>
  <si>
    <t>Per Gateway Per Month</t>
  </si>
  <si>
    <t xml:space="preserve">Per Gateway </t>
  </si>
  <si>
    <t>Annual resources required</t>
  </si>
  <si>
    <t>Added the Bom-A-Lyzer Macro</t>
  </si>
  <si>
    <t>Abstract Delivery Model Comparison</t>
  </si>
  <si>
    <t>Business Productivity</t>
  </si>
  <si>
    <t>CapEx</t>
  </si>
  <si>
    <t>Display Resource Center</t>
  </si>
  <si>
    <t>Ctrl + r</t>
  </si>
  <si>
    <t>Added currency symbol change, talk track, use cases</t>
  </si>
  <si>
    <t>Manpower And Ticketing</t>
  </si>
  <si>
    <t>Removed the overhead, and corrected the BoM-A-Lyzer</t>
  </si>
  <si>
    <t>Fixed the BoM-A-Lyzer bug causing aborted imports</t>
  </si>
  <si>
    <t>Total Productivity Savings with Juniper Mist</t>
  </si>
  <si>
    <t>Resell</t>
  </si>
  <si>
    <t>Managed</t>
  </si>
  <si>
    <t>NaaS</t>
  </si>
  <si>
    <t>HW</t>
  </si>
  <si>
    <t>AP</t>
  </si>
  <si>
    <t>Imp</t>
  </si>
  <si>
    <t>Oth</t>
  </si>
  <si>
    <t>Mgmt</t>
  </si>
  <si>
    <t>MRC</t>
  </si>
  <si>
    <t>Total Profit</t>
  </si>
  <si>
    <t>Unit</t>
  </si>
  <si>
    <t>Term:</t>
  </si>
  <si>
    <t>Added the Monthly Recurring Costimator</t>
  </si>
  <si>
    <t>Target Margin:</t>
  </si>
  <si>
    <t>Total Revenue</t>
  </si>
  <si>
    <t>Overrides</t>
  </si>
  <si>
    <t>Switch</t>
  </si>
  <si>
    <t>Gateway</t>
  </si>
  <si>
    <t>NaaS Cost</t>
  </si>
  <si>
    <t>Aditional Cost</t>
  </si>
  <si>
    <t>Profit/Month</t>
  </si>
  <si>
    <t>Juniper ROI / TCO Estimator Based on Forrester Research</t>
  </si>
  <si>
    <t>Operate / Yr</t>
  </si>
  <si>
    <t>Override Calculated Values</t>
  </si>
  <si>
    <t>$/Device/Yr</t>
  </si>
  <si>
    <t>$/Device</t>
  </si>
  <si>
    <t>%/Device</t>
  </si>
  <si>
    <t>%/Device/Yr</t>
  </si>
  <si>
    <t>Operations</t>
  </si>
  <si>
    <t>Customers:</t>
  </si>
  <si>
    <t>Components:</t>
  </si>
  <si>
    <t>BoM Qty</t>
  </si>
  <si>
    <t>Pete Fitzgerald/BEMA</t>
  </si>
  <si>
    <t>Monthly Recurring Revenue(MRR) Estimator</t>
  </si>
  <si>
    <t>Total Benefits from MIST AI</t>
  </si>
  <si>
    <t>Total Implementation/Operations Savings with Juniper Mist</t>
  </si>
  <si>
    <t>Priced by Square Foot</t>
  </si>
  <si>
    <t>Priced Per User</t>
  </si>
  <si>
    <t>Square Feet</t>
  </si>
  <si>
    <t>Monthly</t>
  </si>
  <si>
    <t>Annual</t>
  </si>
  <si>
    <t>Users</t>
  </si>
  <si>
    <t>Modified some headings, added per SqFt and Per User math</t>
  </si>
  <si>
    <t>Pete Fitzgerald/Uniserve</t>
  </si>
  <si>
    <t>Wayfinding</t>
  </si>
  <si>
    <t>Client Engagement</t>
  </si>
  <si>
    <t>Engagement Analytics</t>
  </si>
  <si>
    <t>Compettitor</t>
  </si>
  <si>
    <t>QTY Override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</si>
</sst>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"/>
    <numFmt numFmtId="166" formatCode="_(* #,##0_);_(* \(#,##0\);_(* &quot;-&quot;??_);_(@_)"/>
    <numFmt numFmtId="167" formatCode="0.000"/>
    <numFmt numFmtId="168" formatCode="_-[$$-809]* #,##0_-;\-[$$-809]* #,##0_-;_-[$$-809]* &quot;-&quot;??_-;_-@_-"/>
    <numFmt numFmtId="169" formatCode="_(&quot;$&quot;* #,##0_);_(&quot;$&quot;* \(#,##0\);_(&quot;$&quot;* &quot;-&quot;??_);_(@_)"/>
    <numFmt numFmtId="170" formatCode="_(&quot;$&quot;&quot;$&quot;\ #,##0_);_(&quot;$&quot;&quot;$&quot;\ \(#,##0\);_(&quot;$&quot;&quot;$&quot;\ &quot;-&quot;??_);_(@_)"/>
  </numFmts>
  <fonts count="3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u val="singleAccounting"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85B138"/>
      <name val="Calibri"/>
      <family val="2"/>
      <scheme val="minor"/>
    </font>
    <font>
      <sz val="12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 (Body)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color theme="0"/>
      <name val="Calibri (Body)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5B138"/>
        <bgColor rgb="FF000000"/>
      </patternFill>
    </fill>
    <fill>
      <patternFill patternType="solid">
        <fgColor rgb="FF85B13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44" fontId="26" fillId="0" borderId="0" applyFont="0" applyFill="0" applyBorder="0" applyAlignment="0" applyProtection="0"/>
  </cellStyleXfs>
  <cellXfs count="493">
    <xf numFmtId="0" fontId="0" fillId="0" borderId="0" xfId="0"/>
    <xf numFmtId="9" fontId="0" fillId="2" borderId="6" xfId="0" applyNumberFormat="1" applyFill="1" applyBorder="1" applyAlignment="1" applyProtection="1">
      <alignment horizontal="center"/>
      <protection locked="0"/>
    </xf>
    <xf numFmtId="0" fontId="0" fillId="7" borderId="4" xfId="0" applyFill="1" applyBorder="1"/>
    <xf numFmtId="0" fontId="3" fillId="6" borderId="0" xfId="0" applyFont="1" applyFill="1"/>
    <xf numFmtId="0" fontId="0" fillId="7" borderId="14" xfId="0" applyFill="1" applyBorder="1"/>
    <xf numFmtId="0" fontId="2" fillId="7" borderId="0" xfId="0" applyFont="1" applyFill="1"/>
    <xf numFmtId="0" fontId="2" fillId="3" borderId="8" xfId="0" applyFont="1" applyFill="1" applyBorder="1" applyAlignment="1">
      <alignment horizontal="center"/>
    </xf>
    <xf numFmtId="9" fontId="0" fillId="3" borderId="6" xfId="0" applyNumberFormat="1" applyFill="1" applyBorder="1" applyAlignment="1">
      <alignment horizontal="center"/>
    </xf>
    <xf numFmtId="0" fontId="0" fillId="0" borderId="6" xfId="0" applyBorder="1"/>
    <xf numFmtId="0" fontId="0" fillId="7" borderId="0" xfId="0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2" fillId="0" borderId="0" xfId="0" applyFont="1"/>
    <xf numFmtId="9" fontId="0" fillId="0" borderId="0" xfId="1" applyFont="1"/>
    <xf numFmtId="0" fontId="0" fillId="0" borderId="0" xfId="0" applyAlignment="1">
      <alignment horizontal="center"/>
    </xf>
    <xf numFmtId="44" fontId="0" fillId="0" borderId="0" xfId="0" applyNumberFormat="1"/>
    <xf numFmtId="0" fontId="2" fillId="0" borderId="0" xfId="0" applyFont="1" applyAlignment="1">
      <alignment horizontal="center"/>
    </xf>
    <xf numFmtId="10" fontId="0" fillId="0" borderId="0" xfId="0" applyNumberFormat="1"/>
    <xf numFmtId="164" fontId="0" fillId="2" borderId="6" xfId="0" applyNumberFormat="1" applyFill="1" applyBorder="1" applyAlignment="1" applyProtection="1">
      <alignment horizontal="center"/>
      <protection locked="0"/>
    </xf>
    <xf numFmtId="9" fontId="1" fillId="3" borderId="6" xfId="1" applyFont="1" applyFill="1" applyBorder="1" applyAlignment="1" applyProtection="1">
      <alignment horizontal="center"/>
    </xf>
    <xf numFmtId="164" fontId="1" fillId="3" borderId="6" xfId="1" applyNumberFormat="1" applyFont="1" applyFill="1" applyBorder="1" applyAlignment="1" applyProtection="1">
      <alignment horizontal="center"/>
    </xf>
    <xf numFmtId="9" fontId="1" fillId="3" borderId="6" xfId="0" applyNumberFormat="1" applyFont="1" applyFill="1" applyBorder="1" applyAlignment="1">
      <alignment horizontal="center"/>
    </xf>
    <xf numFmtId="0" fontId="2" fillId="5" borderId="8" xfId="0" applyFont="1" applyFill="1" applyBorder="1" applyAlignment="1" applyProtection="1">
      <alignment horizontal="center"/>
      <protection locked="0"/>
    </xf>
    <xf numFmtId="2" fontId="1" fillId="3" borderId="6" xfId="2" applyNumberFormat="1" applyFont="1" applyFill="1" applyBorder="1" applyAlignment="1" applyProtection="1">
      <alignment horizontal="center"/>
    </xf>
    <xf numFmtId="9" fontId="0" fillId="5" borderId="6" xfId="0" applyNumberFormat="1" applyFill="1" applyBorder="1" applyAlignment="1" applyProtection="1">
      <alignment horizontal="center"/>
      <protection locked="0"/>
    </xf>
    <xf numFmtId="2" fontId="0" fillId="2" borderId="6" xfId="2" applyNumberFormat="1" applyFont="1" applyFill="1" applyBorder="1" applyAlignment="1" applyProtection="1">
      <alignment horizontal="center"/>
      <protection locked="0"/>
    </xf>
    <xf numFmtId="0" fontId="0" fillId="0" borderId="7" xfId="0" applyBorder="1"/>
    <xf numFmtId="0" fontId="2" fillId="0" borderId="5" xfId="0" applyFont="1" applyBorder="1" applyAlignment="1">
      <alignment horizontal="center"/>
    </xf>
    <xf numFmtId="14" fontId="0" fillId="0" borderId="6" xfId="0" applyNumberFormat="1" applyBorder="1"/>
    <xf numFmtId="0" fontId="0" fillId="0" borderId="20" xfId="0" applyBorder="1"/>
    <xf numFmtId="165" fontId="0" fillId="0" borderId="6" xfId="0" applyNumberFormat="1" applyBorder="1" applyAlignment="1">
      <alignment horizontal="center"/>
    </xf>
    <xf numFmtId="14" fontId="0" fillId="0" borderId="20" xfId="0" applyNumberFormat="1" applyBorder="1"/>
    <xf numFmtId="165" fontId="0" fillId="0" borderId="20" xfId="0" applyNumberFormat="1" applyBorder="1" applyAlignment="1">
      <alignment horizontal="center"/>
    </xf>
    <xf numFmtId="0" fontId="4" fillId="7" borderId="4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/>
    </xf>
    <xf numFmtId="0" fontId="7" fillId="3" borderId="0" xfId="0" applyFont="1" applyFill="1"/>
    <xf numFmtId="0" fontId="2" fillId="3" borderId="10" xfId="0" applyFont="1" applyFill="1" applyBorder="1"/>
    <xf numFmtId="1" fontId="2" fillId="0" borderId="12" xfId="0" applyNumberFormat="1" applyFont="1" applyBorder="1"/>
    <xf numFmtId="0" fontId="8" fillId="3" borderId="0" xfId="0" applyFont="1" applyFill="1"/>
    <xf numFmtId="9" fontId="2" fillId="7" borderId="0" xfId="1" applyFont="1" applyFill="1" applyBorder="1" applyProtection="1"/>
    <xf numFmtId="9" fontId="8" fillId="3" borderId="9" xfId="1" applyFont="1" applyFill="1" applyBorder="1" applyProtection="1"/>
    <xf numFmtId="0" fontId="0" fillId="7" borderId="15" xfId="0" applyFill="1" applyBorder="1"/>
    <xf numFmtId="9" fontId="2" fillId="7" borderId="16" xfId="1" applyFont="1" applyFill="1" applyBorder="1" applyProtection="1"/>
    <xf numFmtId="0" fontId="0" fillId="7" borderId="17" xfId="0" applyFill="1" applyBorder="1"/>
    <xf numFmtId="0" fontId="10" fillId="0" borderId="0" xfId="0" applyFont="1"/>
    <xf numFmtId="0" fontId="11" fillId="0" borderId="0" xfId="0" applyFont="1"/>
    <xf numFmtId="0" fontId="2" fillId="3" borderId="20" xfId="0" applyFont="1" applyFill="1" applyBorder="1" applyAlignment="1">
      <alignment horizontal="center"/>
    </xf>
    <xf numFmtId="9" fontId="0" fillId="2" borderId="20" xfId="0" applyNumberFormat="1" applyFill="1" applyBorder="1" applyAlignment="1" applyProtection="1">
      <alignment horizontal="center"/>
      <protection locked="0"/>
    </xf>
    <xf numFmtId="9" fontId="0" fillId="3" borderId="20" xfId="0" applyNumberFormat="1" applyFill="1" applyBorder="1" applyAlignment="1">
      <alignment horizontal="center"/>
    </xf>
    <xf numFmtId="1" fontId="0" fillId="2" borderId="6" xfId="2" applyNumberFormat="1" applyFont="1" applyFill="1" applyBorder="1" applyAlignment="1" applyProtection="1">
      <alignment horizontal="center"/>
      <protection locked="0"/>
    </xf>
    <xf numFmtId="1" fontId="1" fillId="3" borderId="6" xfId="2" applyNumberFormat="1" applyFont="1" applyFill="1" applyBorder="1" applyAlignment="1" applyProtection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/>
    <xf numFmtId="0" fontId="1" fillId="0" borderId="0" xfId="0" applyFont="1" applyAlignment="1">
      <alignment horizontal="center"/>
    </xf>
    <xf numFmtId="9" fontId="1" fillId="3" borderId="6" xfId="2" applyNumberFormat="1" applyFont="1" applyFill="1" applyBorder="1" applyAlignment="1" applyProtection="1">
      <alignment horizontal="center"/>
    </xf>
    <xf numFmtId="9" fontId="0" fillId="2" borderId="6" xfId="2" applyNumberFormat="1" applyFont="1" applyFill="1" applyBorder="1" applyAlignment="1" applyProtection="1">
      <alignment horizontal="center"/>
      <protection locked="0"/>
    </xf>
    <xf numFmtId="9" fontId="0" fillId="2" borderId="6" xfId="1" applyFont="1" applyFill="1" applyBorder="1" applyAlignment="1" applyProtection="1">
      <alignment horizontal="center"/>
      <protection locked="0"/>
    </xf>
    <xf numFmtId="2" fontId="0" fillId="2" borderId="7" xfId="2" applyNumberFormat="1" applyFont="1" applyFill="1" applyBorder="1" applyAlignment="1" applyProtection="1">
      <alignment horizontal="center"/>
      <protection locked="0"/>
    </xf>
    <xf numFmtId="2" fontId="1" fillId="3" borderId="7" xfId="2" applyNumberFormat="1" applyFont="1" applyFill="1" applyBorder="1" applyAlignment="1" applyProtection="1">
      <alignment horizontal="center"/>
    </xf>
    <xf numFmtId="0" fontId="12" fillId="0" borderId="0" xfId="0" applyFont="1"/>
    <xf numFmtId="0" fontId="0" fillId="7" borderId="1" xfId="0" applyFill="1" applyBorder="1"/>
    <xf numFmtId="0" fontId="0" fillId="7" borderId="2" xfId="0" applyFill="1" applyBorder="1" applyAlignment="1">
      <alignment horizontal="center"/>
    </xf>
    <xf numFmtId="0" fontId="0" fillId="7" borderId="3" xfId="0" applyFill="1" applyBorder="1"/>
    <xf numFmtId="0" fontId="0" fillId="7" borderId="0" xfId="0" applyFill="1" applyAlignment="1">
      <alignment horizontal="center"/>
    </xf>
    <xf numFmtId="0" fontId="14" fillId="7" borderId="0" xfId="0" applyFont="1" applyFill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2" fillId="7" borderId="1" xfId="0" applyFont="1" applyFill="1" applyBorder="1"/>
    <xf numFmtId="0" fontId="14" fillId="7" borderId="4" xfId="0" applyFont="1" applyFill="1" applyBorder="1" applyAlignment="1">
      <alignment horizontal="left" indent="1"/>
    </xf>
    <xf numFmtId="0" fontId="1" fillId="5" borderId="6" xfId="0" applyFont="1" applyFill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1" fontId="0" fillId="2" borderId="20" xfId="2" applyNumberFormat="1" applyFont="1" applyFill="1" applyBorder="1" applyAlignment="1" applyProtection="1">
      <alignment horizontal="center"/>
      <protection locked="0"/>
    </xf>
    <xf numFmtId="1" fontId="1" fillId="3" borderId="20" xfId="2" applyNumberFormat="1" applyFont="1" applyFill="1" applyBorder="1" applyAlignment="1" applyProtection="1">
      <alignment horizontal="center"/>
    </xf>
    <xf numFmtId="9" fontId="0" fillId="2" borderId="11" xfId="1" applyFont="1" applyFill="1" applyBorder="1" applyAlignment="1" applyProtection="1">
      <alignment horizontal="center"/>
      <protection locked="0"/>
    </xf>
    <xf numFmtId="9" fontId="0" fillId="2" borderId="28" xfId="1" applyFont="1" applyFill="1" applyBorder="1" applyAlignment="1" applyProtection="1">
      <alignment horizontal="center"/>
      <protection locked="0"/>
    </xf>
    <xf numFmtId="9" fontId="0" fillId="2" borderId="9" xfId="1" applyFont="1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left" indent="2"/>
      <protection locked="0"/>
    </xf>
    <xf numFmtId="0" fontId="0" fillId="2" borderId="29" xfId="0" applyFill="1" applyBorder="1" applyAlignment="1" applyProtection="1">
      <alignment horizontal="left" indent="2"/>
      <protection locked="0"/>
    </xf>
    <xf numFmtId="0" fontId="0" fillId="2" borderId="30" xfId="0" applyFill="1" applyBorder="1" applyAlignment="1" applyProtection="1">
      <alignment horizontal="left" indent="2"/>
      <protection locked="0"/>
    </xf>
    <xf numFmtId="0" fontId="19" fillId="7" borderId="0" xfId="0" applyFont="1" applyFill="1" applyAlignment="1">
      <alignment horizontal="left" indent="7"/>
    </xf>
    <xf numFmtId="0" fontId="14" fillId="7" borderId="16" xfId="0" applyFont="1" applyFill="1" applyBorder="1" applyAlignment="1">
      <alignment horizontal="center"/>
    </xf>
    <xf numFmtId="0" fontId="14" fillId="7" borderId="0" xfId="0" applyFont="1" applyFill="1" applyAlignment="1">
      <alignment horizontal="left" indent="8"/>
    </xf>
    <xf numFmtId="1" fontId="0" fillId="3" borderId="1" xfId="0" applyNumberFormat="1" applyFill="1" applyBorder="1" applyAlignment="1">
      <alignment horizontal="center"/>
    </xf>
    <xf numFmtId="9" fontId="1" fillId="3" borderId="3" xfId="1" applyFont="1" applyFill="1" applyBorder="1" applyAlignment="1" applyProtection="1">
      <alignment horizontal="center"/>
    </xf>
    <xf numFmtId="1" fontId="0" fillId="3" borderId="4" xfId="0" applyNumberFormat="1" applyFill="1" applyBorder="1" applyAlignment="1">
      <alignment horizontal="center"/>
    </xf>
    <xf numFmtId="9" fontId="1" fillId="3" borderId="14" xfId="1" applyFont="1" applyFill="1" applyBorder="1" applyAlignment="1" applyProtection="1">
      <alignment horizontal="center"/>
    </xf>
    <xf numFmtId="1" fontId="0" fillId="3" borderId="15" xfId="0" applyNumberFormat="1" applyFill="1" applyBorder="1" applyAlignment="1">
      <alignment horizontal="center"/>
    </xf>
    <xf numFmtId="9" fontId="1" fillId="3" borderId="17" xfId="1" applyFont="1" applyFill="1" applyBorder="1" applyAlignment="1" applyProtection="1">
      <alignment horizontal="center"/>
    </xf>
    <xf numFmtId="0" fontId="14" fillId="7" borderId="0" xfId="0" applyFont="1" applyFill="1" applyAlignment="1">
      <alignment horizontal="left" indent="7"/>
    </xf>
    <xf numFmtId="9" fontId="14" fillId="7" borderId="2" xfId="1" applyFont="1" applyFill="1" applyBorder="1" applyAlignment="1" applyProtection="1">
      <alignment horizontal="center"/>
    </xf>
    <xf numFmtId="0" fontId="2" fillId="7" borderId="4" xfId="0" applyFont="1" applyFill="1" applyBorder="1"/>
    <xf numFmtId="0" fontId="19" fillId="7" borderId="0" xfId="0" applyFont="1" applyFill="1"/>
    <xf numFmtId="0" fontId="19" fillId="7" borderId="0" xfId="0" quotePrefix="1" applyFont="1" applyFill="1" applyAlignment="1">
      <alignment horizontal="center"/>
    </xf>
    <xf numFmtId="0" fontId="19" fillId="7" borderId="0" xfId="0" applyFont="1" applyFill="1" applyAlignment="1">
      <alignment horizontal="center"/>
    </xf>
    <xf numFmtId="0" fontId="2" fillId="7" borderId="14" xfId="0" applyFont="1" applyFill="1" applyBorder="1"/>
    <xf numFmtId="0" fontId="16" fillId="7" borderId="0" xfId="0" applyFont="1" applyFill="1" applyAlignment="1">
      <alignment horizontal="left" indent="1"/>
    </xf>
    <xf numFmtId="9" fontId="2" fillId="4" borderId="12" xfId="1" applyFont="1" applyFill="1" applyBorder="1" applyAlignment="1" applyProtection="1">
      <alignment horizontal="center"/>
    </xf>
    <xf numFmtId="9" fontId="2" fillId="0" borderId="0" xfId="0" applyNumberFormat="1" applyFont="1"/>
    <xf numFmtId="0" fontId="0" fillId="7" borderId="35" xfId="0" applyFill="1" applyBorder="1"/>
    <xf numFmtId="0" fontId="15" fillId="7" borderId="0" xfId="0" applyFont="1" applyFill="1" applyAlignment="1">
      <alignment horizontal="left" indent="1"/>
    </xf>
    <xf numFmtId="9" fontId="0" fillId="7" borderId="0" xfId="1" applyFont="1" applyFill="1" applyBorder="1" applyAlignment="1" applyProtection="1">
      <alignment horizontal="center"/>
    </xf>
    <xf numFmtId="9" fontId="0" fillId="7" borderId="0" xfId="1" applyFont="1" applyFill="1" applyBorder="1" applyProtection="1"/>
    <xf numFmtId="9" fontId="14" fillId="7" borderId="0" xfId="1" applyFont="1" applyFill="1" applyBorder="1" applyAlignment="1" applyProtection="1">
      <alignment horizontal="center"/>
    </xf>
    <xf numFmtId="9" fontId="18" fillId="3" borderId="10" xfId="1" applyFont="1" applyFill="1" applyBorder="1" applyProtection="1"/>
    <xf numFmtId="9" fontId="18" fillId="3" borderId="34" xfId="1" applyFont="1" applyFill="1" applyBorder="1" applyProtection="1"/>
    <xf numFmtId="9" fontId="18" fillId="4" borderId="30" xfId="1" applyFont="1" applyFill="1" applyBorder="1" applyProtection="1"/>
    <xf numFmtId="0" fontId="15" fillId="7" borderId="16" xfId="0" applyFont="1" applyFill="1" applyBorder="1" applyAlignment="1">
      <alignment horizontal="left" indent="1"/>
    </xf>
    <xf numFmtId="0" fontId="0" fillId="7" borderId="16" xfId="0" applyFill="1" applyBorder="1" applyAlignment="1">
      <alignment horizontal="left" indent="1"/>
    </xf>
    <xf numFmtId="0" fontId="0" fillId="7" borderId="16" xfId="0" applyFill="1" applyBorder="1" applyAlignment="1">
      <alignment horizontal="center"/>
    </xf>
    <xf numFmtId="9" fontId="0" fillId="7" borderId="16" xfId="1" applyFont="1" applyFill="1" applyBorder="1" applyProtection="1"/>
    <xf numFmtId="9" fontId="2" fillId="2" borderId="8" xfId="0" applyNumberFormat="1" applyFont="1" applyFill="1" applyBorder="1" applyAlignment="1" applyProtection="1">
      <alignment horizontal="center"/>
      <protection locked="0"/>
    </xf>
    <xf numFmtId="0" fontId="0" fillId="8" borderId="4" xfId="0" applyFill="1" applyBorder="1"/>
    <xf numFmtId="0" fontId="0" fillId="8" borderId="0" xfId="0" applyFill="1"/>
    <xf numFmtId="9" fontId="0" fillId="8" borderId="2" xfId="1" applyFont="1" applyFill="1" applyBorder="1" applyAlignment="1">
      <alignment horizontal="center"/>
    </xf>
    <xf numFmtId="9" fontId="0" fillId="8" borderId="0" xfId="1" applyFont="1" applyFill="1" applyBorder="1" applyAlignment="1">
      <alignment horizontal="center"/>
    </xf>
    <xf numFmtId="9" fontId="2" fillId="4" borderId="13" xfId="1" applyFont="1" applyFill="1" applyBorder="1" applyAlignment="1" applyProtection="1">
      <alignment horizontal="center"/>
    </xf>
    <xf numFmtId="9" fontId="0" fillId="3" borderId="0" xfId="1" applyFont="1" applyFill="1" applyBorder="1" applyAlignment="1" applyProtection="1">
      <alignment horizontal="center"/>
    </xf>
    <xf numFmtId="1" fontId="0" fillId="0" borderId="0" xfId="0" applyNumberFormat="1"/>
    <xf numFmtId="0" fontId="13" fillId="7" borderId="14" xfId="0" applyFont="1" applyFill="1" applyBorder="1" applyAlignment="1">
      <alignment horizontal="center" vertical="center"/>
    </xf>
    <xf numFmtId="0" fontId="7" fillId="0" borderId="0" xfId="0" applyFont="1"/>
    <xf numFmtId="0" fontId="14" fillId="7" borderId="14" xfId="0" applyFont="1" applyFill="1" applyBorder="1" applyAlignment="1">
      <alignment horizontal="center"/>
    </xf>
    <xf numFmtId="0" fontId="0" fillId="5" borderId="20" xfId="2" applyNumberFormat="1" applyFont="1" applyFill="1" applyBorder="1" applyAlignment="1" applyProtection="1">
      <alignment horizontal="center"/>
      <protection locked="0"/>
    </xf>
    <xf numFmtId="9" fontId="0" fillId="5" borderId="5" xfId="1" applyFont="1" applyFill="1" applyBorder="1" applyAlignment="1" applyProtection="1">
      <alignment horizontal="center"/>
      <protection locked="0"/>
    </xf>
    <xf numFmtId="0" fontId="0" fillId="5" borderId="5" xfId="1" applyNumberFormat="1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0" fillId="7" borderId="0" xfId="0" applyFill="1" applyAlignment="1">
      <alignment horizontal="lef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0" fillId="7" borderId="16" xfId="0" applyFill="1" applyBorder="1"/>
    <xf numFmtId="0" fontId="0" fillId="7" borderId="16" xfId="0" applyFill="1" applyBorder="1" applyAlignment="1">
      <alignment horizontal="left"/>
    </xf>
    <xf numFmtId="0" fontId="0" fillId="8" borderId="6" xfId="0" applyFill="1" applyBorder="1"/>
    <xf numFmtId="0" fontId="14" fillId="7" borderId="0" xfId="0" applyFont="1" applyFill="1"/>
    <xf numFmtId="0" fontId="14" fillId="7" borderId="4" xfId="0" applyFont="1" applyFill="1" applyBorder="1"/>
    <xf numFmtId="0" fontId="14" fillId="7" borderId="4" xfId="0" applyFont="1" applyFill="1" applyBorder="1" applyAlignment="1">
      <alignment horizontal="left" indent="2"/>
    </xf>
    <xf numFmtId="9" fontId="0" fillId="3" borderId="21" xfId="1" applyFont="1" applyFill="1" applyBorder="1" applyAlignment="1">
      <alignment horizontal="center"/>
    </xf>
    <xf numFmtId="0" fontId="14" fillId="7" borderId="15" xfId="0" applyFont="1" applyFill="1" applyBorder="1" applyAlignment="1">
      <alignment horizontal="left" indent="1"/>
    </xf>
    <xf numFmtId="0" fontId="0" fillId="3" borderId="21" xfId="0" applyFill="1" applyBorder="1" applyAlignment="1">
      <alignment horizontal="center"/>
    </xf>
    <xf numFmtId="0" fontId="18" fillId="7" borderId="0" xfId="0" applyFont="1" applyFill="1"/>
    <xf numFmtId="0" fontId="2" fillId="0" borderId="23" xfId="0" applyFont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9" borderId="12" xfId="0" applyFont="1" applyFill="1" applyBorder="1" applyAlignment="1">
      <alignment horizontal="center"/>
    </xf>
    <xf numFmtId="0" fontId="27" fillId="3" borderId="19" xfId="0" applyFont="1" applyFill="1" applyBorder="1"/>
    <xf numFmtId="0" fontId="2" fillId="3" borderId="19" xfId="0" applyFont="1" applyFill="1" applyBorder="1"/>
    <xf numFmtId="2" fontId="0" fillId="3" borderId="11" xfId="0" applyNumberFormat="1" applyFill="1" applyBorder="1"/>
    <xf numFmtId="2" fontId="0" fillId="3" borderId="0" xfId="0" applyNumberFormat="1" applyFill="1"/>
    <xf numFmtId="0" fontId="28" fillId="0" borderId="0" xfId="0" applyFont="1" applyAlignment="1">
      <alignment horizontal="left" indent="2"/>
    </xf>
    <xf numFmtId="0" fontId="29" fillId="0" borderId="0" xfId="0" applyFont="1" applyAlignment="1">
      <alignment horizontal="left" indent="1"/>
    </xf>
    <xf numFmtId="2" fontId="0" fillId="3" borderId="28" xfId="0" applyNumberFormat="1" applyFill="1" applyBorder="1"/>
    <xf numFmtId="2" fontId="0" fillId="3" borderId="18" xfId="0" applyNumberFormat="1" applyFill="1" applyBorder="1"/>
    <xf numFmtId="0" fontId="29" fillId="0" borderId="0" xfId="0" applyFont="1" applyAlignment="1">
      <alignment horizontal="left" indent="2"/>
    </xf>
    <xf numFmtId="0" fontId="27" fillId="3" borderId="10" xfId="0" applyFont="1" applyFill="1" applyBorder="1"/>
    <xf numFmtId="2" fontId="0" fillId="0" borderId="8" xfId="0" applyNumberFormat="1" applyBorder="1"/>
    <xf numFmtId="2" fontId="0" fillId="3" borderId="19" xfId="0" applyNumberFormat="1" applyFill="1" applyBorder="1"/>
    <xf numFmtId="2" fontId="30" fillId="3" borderId="0" xfId="3" applyNumberFormat="1" applyFont="1" applyFill="1" applyBorder="1"/>
    <xf numFmtId="2" fontId="25" fillId="3" borderId="19" xfId="0" applyNumberFormat="1" applyFont="1" applyFill="1" applyBorder="1"/>
    <xf numFmtId="0" fontId="2" fillId="3" borderId="27" xfId="0" applyFont="1" applyFill="1" applyBorder="1"/>
    <xf numFmtId="2" fontId="0" fillId="3" borderId="27" xfId="0" applyNumberFormat="1" applyFill="1" applyBorder="1"/>
    <xf numFmtId="2" fontId="10" fillId="3" borderId="27" xfId="0" applyNumberFormat="1" applyFont="1" applyFill="1" applyBorder="1"/>
    <xf numFmtId="44" fontId="10" fillId="3" borderId="13" xfId="0" applyNumberFormat="1" applyFont="1" applyFill="1" applyBorder="1"/>
    <xf numFmtId="44" fontId="10" fillId="3" borderId="29" xfId="0" applyNumberFormat="1" applyFont="1" applyFill="1" applyBorder="1"/>
    <xf numFmtId="0" fontId="30" fillId="3" borderId="18" xfId="0" applyFont="1" applyFill="1" applyBorder="1" applyAlignment="1">
      <alignment horizontal="left" indent="1"/>
    </xf>
    <xf numFmtId="2" fontId="10" fillId="3" borderId="18" xfId="0" applyNumberFormat="1" applyFont="1" applyFill="1" applyBorder="1"/>
    <xf numFmtId="44" fontId="10" fillId="3" borderId="18" xfId="0" applyNumberFormat="1" applyFont="1" applyFill="1" applyBorder="1"/>
    <xf numFmtId="166" fontId="0" fillId="7" borderId="0" xfId="3" applyNumberFormat="1" applyFont="1" applyFill="1" applyBorder="1"/>
    <xf numFmtId="166" fontId="0" fillId="0" borderId="0" xfId="3" applyNumberFormat="1" applyFont="1" applyFill="1" applyBorder="1"/>
    <xf numFmtId="0" fontId="1" fillId="7" borderId="0" xfId="0" applyFont="1" applyFill="1"/>
    <xf numFmtId="0" fontId="1" fillId="3" borderId="0" xfId="4" applyFont="1" applyFill="1"/>
    <xf numFmtId="0" fontId="2" fillId="3" borderId="23" xfId="4" applyFont="1" applyFill="1" applyBorder="1" applyAlignment="1">
      <alignment horizontal="center"/>
    </xf>
    <xf numFmtId="0" fontId="29" fillId="0" borderId="0" xfId="4" applyFont="1" applyAlignment="1">
      <alignment horizontal="left" indent="2"/>
    </xf>
    <xf numFmtId="0" fontId="1" fillId="7" borderId="0" xfId="4" applyFont="1" applyFill="1"/>
    <xf numFmtId="2" fontId="1" fillId="7" borderId="0" xfId="4" applyNumberFormat="1" applyFont="1" applyFill="1"/>
    <xf numFmtId="44" fontId="1" fillId="7" borderId="0" xfId="4" applyNumberFormat="1" applyFont="1" applyFill="1"/>
    <xf numFmtId="0" fontId="30" fillId="3" borderId="0" xfId="4" applyFont="1" applyFill="1" applyAlignment="1">
      <alignment horizontal="left" indent="1"/>
    </xf>
    <xf numFmtId="2" fontId="1" fillId="3" borderId="0" xfId="4" applyNumberFormat="1" applyFont="1" applyFill="1"/>
    <xf numFmtId="2" fontId="30" fillId="3" borderId="0" xfId="5" applyNumberFormat="1" applyFont="1" applyFill="1" applyBorder="1"/>
    <xf numFmtId="2" fontId="30" fillId="3" borderId="0" xfId="4" applyNumberFormat="1" applyFont="1" applyFill="1"/>
    <xf numFmtId="0" fontId="31" fillId="3" borderId="27" xfId="4" applyFont="1" applyFill="1" applyBorder="1"/>
    <xf numFmtId="2" fontId="12" fillId="3" borderId="27" xfId="4" applyNumberFormat="1" applyFont="1" applyFill="1" applyBorder="1"/>
    <xf numFmtId="167" fontId="12" fillId="3" borderId="27" xfId="4" applyNumberFormat="1" applyFont="1" applyFill="1" applyBorder="1"/>
    <xf numFmtId="0" fontId="31" fillId="3" borderId="18" xfId="4" applyFont="1" applyFill="1" applyBorder="1"/>
    <xf numFmtId="2" fontId="12" fillId="3" borderId="18" xfId="4" applyNumberFormat="1" applyFont="1" applyFill="1" applyBorder="1"/>
    <xf numFmtId="166" fontId="1" fillId="7" borderId="0" xfId="5" applyNumberFormat="1" applyFont="1" applyFill="1" applyBorder="1"/>
    <xf numFmtId="0" fontId="1" fillId="3" borderId="20" xfId="2" applyNumberFormat="1" applyFont="1" applyFill="1" applyBorder="1" applyAlignment="1" applyProtection="1">
      <alignment horizontal="center"/>
    </xf>
    <xf numFmtId="0" fontId="0" fillId="2" borderId="6" xfId="2" applyNumberFormat="1" applyFont="1" applyFill="1" applyBorder="1" applyAlignment="1" applyProtection="1">
      <alignment horizontal="center"/>
      <protection locked="0"/>
    </xf>
    <xf numFmtId="0" fontId="1" fillId="3" borderId="6" xfId="2" applyNumberFormat="1" applyFont="1" applyFill="1" applyBorder="1" applyAlignment="1" applyProtection="1">
      <alignment horizontal="center"/>
    </xf>
    <xf numFmtId="0" fontId="12" fillId="2" borderId="36" xfId="5" applyNumberFormat="1" applyFont="1" applyFill="1" applyBorder="1" applyAlignment="1">
      <alignment horizontal="center"/>
    </xf>
    <xf numFmtId="9" fontId="0" fillId="5" borderId="7" xfId="1" applyFont="1" applyFill="1" applyBorder="1" applyAlignment="1" applyProtection="1">
      <alignment horizontal="center"/>
      <protection locked="0"/>
    </xf>
    <xf numFmtId="0" fontId="0" fillId="5" borderId="7" xfId="1" applyNumberFormat="1" applyFont="1" applyFill="1" applyBorder="1" applyAlignment="1" applyProtection="1">
      <alignment horizontal="center"/>
      <protection locked="0"/>
    </xf>
    <xf numFmtId="0" fontId="0" fillId="2" borderId="5" xfId="2" applyNumberFormat="1" applyFont="1" applyFill="1" applyBorder="1" applyAlignment="1" applyProtection="1">
      <alignment horizontal="center"/>
      <protection locked="0"/>
    </xf>
    <xf numFmtId="0" fontId="0" fillId="3" borderId="0" xfId="0" applyFill="1"/>
    <xf numFmtId="0" fontId="2" fillId="7" borderId="0" xfId="0" applyFont="1" applyFill="1" applyAlignment="1">
      <alignment horizontal="center"/>
    </xf>
    <xf numFmtId="0" fontId="0" fillId="7" borderId="6" xfId="2" applyNumberFormat="1" applyFont="1" applyFill="1" applyBorder="1" applyAlignment="1" applyProtection="1">
      <alignment horizontal="center"/>
      <protection locked="0"/>
    </xf>
    <xf numFmtId="0" fontId="0" fillId="7" borderId="24" xfId="0" applyFill="1" applyBorder="1" applyAlignment="1">
      <alignment horizontal="center"/>
    </xf>
    <xf numFmtId="0" fontId="0" fillId="7" borderId="4" xfId="1" applyNumberFormat="1" applyFont="1" applyFill="1" applyBorder="1" applyAlignment="1" applyProtection="1">
      <alignment horizontal="center"/>
      <protection locked="0"/>
    </xf>
    <xf numFmtId="0" fontId="30" fillId="3" borderId="0" xfId="0" applyFont="1" applyFill="1" applyAlignment="1">
      <alignment horizontal="left" indent="1"/>
    </xf>
    <xf numFmtId="2" fontId="30" fillId="3" borderId="0" xfId="0" applyNumberFormat="1" applyFont="1" applyFill="1"/>
    <xf numFmtId="2" fontId="10" fillId="3" borderId="0" xfId="0" applyNumberFormat="1" applyFont="1" applyFill="1"/>
    <xf numFmtId="44" fontId="10" fillId="3" borderId="0" xfId="0" applyNumberFormat="1" applyFont="1" applyFill="1"/>
    <xf numFmtId="0" fontId="2" fillId="3" borderId="19" xfId="0" applyFont="1" applyFill="1" applyBorder="1" applyAlignment="1">
      <alignment horizontal="left" indent="1"/>
    </xf>
    <xf numFmtId="0" fontId="2" fillId="3" borderId="18" xfId="0" applyFont="1" applyFill="1" applyBorder="1" applyAlignment="1">
      <alignment horizontal="left" indent="1"/>
    </xf>
    <xf numFmtId="0" fontId="9" fillId="3" borderId="13" xfId="0" applyFont="1" applyFill="1" applyBorder="1" applyAlignment="1">
      <alignment horizontal="center"/>
    </xf>
    <xf numFmtId="0" fontId="27" fillId="3" borderId="13" xfId="4" applyFont="1" applyFill="1" applyBorder="1"/>
    <xf numFmtId="9" fontId="1" fillId="3" borderId="29" xfId="1" applyFont="1" applyFill="1" applyBorder="1" applyAlignment="1">
      <alignment horizontal="center"/>
    </xf>
    <xf numFmtId="0" fontId="27" fillId="3" borderId="27" xfId="0" applyFont="1" applyFill="1" applyBorder="1"/>
    <xf numFmtId="0" fontId="27" fillId="3" borderId="13" xfId="0" applyFont="1" applyFill="1" applyBorder="1" applyAlignment="1">
      <alignment horizontal="center"/>
    </xf>
    <xf numFmtId="9" fontId="27" fillId="3" borderId="13" xfId="1" applyFont="1" applyFill="1" applyBorder="1" applyAlignment="1">
      <alignment horizontal="center"/>
    </xf>
    <xf numFmtId="0" fontId="18" fillId="0" borderId="0" xfId="0" applyFont="1"/>
    <xf numFmtId="0" fontId="27" fillId="3" borderId="27" xfId="0" applyFont="1" applyFill="1" applyBorder="1" applyAlignment="1">
      <alignment horizontal="left" indent="1"/>
    </xf>
    <xf numFmtId="9" fontId="1" fillId="2" borderId="5" xfId="1" applyFon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2" fillId="3" borderId="0" xfId="0" applyFont="1" applyFill="1" applyAlignment="1">
      <alignment horizontal="left" indent="2"/>
    </xf>
    <xf numFmtId="43" fontId="0" fillId="0" borderId="0" xfId="0" applyNumberFormat="1"/>
    <xf numFmtId="43" fontId="0" fillId="0" borderId="0" xfId="3" applyFont="1" applyProtection="1"/>
    <xf numFmtId="0" fontId="0" fillId="0" borderId="0" xfId="0" applyAlignment="1">
      <alignment horizontal="left" indent="1"/>
    </xf>
    <xf numFmtId="1" fontId="0" fillId="8" borderId="11" xfId="3" applyNumberFormat="1" applyFont="1" applyFill="1" applyBorder="1" applyProtection="1"/>
    <xf numFmtId="1" fontId="0" fillId="4" borderId="24" xfId="3" applyNumberFormat="1" applyFont="1" applyFill="1" applyBorder="1" applyProtection="1"/>
    <xf numFmtId="166" fontId="0" fillId="8" borderId="11" xfId="3" applyNumberFormat="1" applyFont="1" applyFill="1" applyBorder="1" applyProtection="1"/>
    <xf numFmtId="166" fontId="0" fillId="4" borderId="24" xfId="3" applyNumberFormat="1" applyFont="1" applyFill="1" applyBorder="1" applyProtection="1"/>
    <xf numFmtId="42" fontId="0" fillId="0" borderId="0" xfId="0" applyNumberFormat="1"/>
    <xf numFmtId="42" fontId="2" fillId="9" borderId="18" xfId="2" applyNumberFormat="1" applyFont="1" applyFill="1" applyBorder="1"/>
    <xf numFmtId="1" fontId="0" fillId="4" borderId="11" xfId="0" applyNumberFormat="1" applyFill="1" applyBorder="1"/>
    <xf numFmtId="42" fontId="0" fillId="3" borderId="29" xfId="2" applyNumberFormat="1" applyFont="1" applyFill="1" applyBorder="1"/>
    <xf numFmtId="42" fontId="2" fillId="9" borderId="0" xfId="2" applyNumberFormat="1" applyFont="1" applyFill="1" applyBorder="1"/>
    <xf numFmtId="42" fontId="0" fillId="3" borderId="30" xfId="2" applyNumberFormat="1" applyFont="1" applyFill="1" applyBorder="1"/>
    <xf numFmtId="42" fontId="28" fillId="0" borderId="0" xfId="0" applyNumberFormat="1" applyFont="1" applyAlignment="1">
      <alignment horizontal="left" indent="2"/>
    </xf>
    <xf numFmtId="42" fontId="29" fillId="0" borderId="0" xfId="2" applyNumberFormat="1" applyFont="1" applyFill="1" applyBorder="1" applyAlignment="1">
      <alignment horizontal="left" indent="1"/>
    </xf>
    <xf numFmtId="42" fontId="0" fillId="3" borderId="19" xfId="0" applyNumberFormat="1" applyFill="1" applyBorder="1"/>
    <xf numFmtId="42" fontId="2" fillId="9" borderId="8" xfId="2" applyNumberFormat="1" applyFont="1" applyFill="1" applyBorder="1"/>
    <xf numFmtId="42" fontId="30" fillId="3" borderId="0" xfId="2" applyNumberFormat="1" applyFont="1" applyFill="1" applyBorder="1"/>
    <xf numFmtId="42" fontId="30" fillId="9" borderId="23" xfId="2" applyNumberFormat="1" applyFont="1" applyFill="1" applyBorder="1"/>
    <xf numFmtId="42" fontId="30" fillId="9" borderId="24" xfId="2" applyNumberFormat="1" applyFont="1" applyFill="1" applyBorder="1"/>
    <xf numFmtId="42" fontId="25" fillId="3" borderId="19" xfId="0" applyNumberFormat="1" applyFont="1" applyFill="1" applyBorder="1"/>
    <xf numFmtId="42" fontId="29" fillId="0" borderId="0" xfId="0" applyNumberFormat="1" applyFont="1" applyAlignment="1">
      <alignment horizontal="left" indent="2"/>
    </xf>
    <xf numFmtId="42" fontId="30" fillId="9" borderId="25" xfId="2" applyNumberFormat="1" applyFont="1" applyFill="1" applyBorder="1"/>
    <xf numFmtId="42" fontId="31" fillId="9" borderId="8" xfId="2" applyNumberFormat="1" applyFont="1" applyFill="1" applyBorder="1"/>
    <xf numFmtId="42" fontId="30" fillId="0" borderId="0" xfId="2" applyNumberFormat="1" applyFont="1" applyFill="1" applyBorder="1"/>
    <xf numFmtId="42" fontId="0" fillId="9" borderId="23" xfId="2" applyNumberFormat="1" applyFont="1" applyFill="1" applyBorder="1"/>
    <xf numFmtId="42" fontId="0" fillId="9" borderId="24" xfId="2" applyNumberFormat="1" applyFont="1" applyFill="1" applyBorder="1"/>
    <xf numFmtId="42" fontId="27" fillId="9" borderId="8" xfId="2" applyNumberFormat="1" applyFont="1" applyFill="1" applyBorder="1"/>
    <xf numFmtId="42" fontId="1" fillId="9" borderId="24" xfId="2" applyNumberFormat="1" applyFont="1" applyFill="1" applyBorder="1"/>
    <xf numFmtId="42" fontId="31" fillId="9" borderId="27" xfId="2" applyNumberFormat="1" applyFont="1" applyFill="1" applyBorder="1"/>
    <xf numFmtId="42" fontId="1" fillId="7" borderId="0" xfId="6" applyNumberFormat="1" applyFont="1" applyFill="1" applyBorder="1"/>
    <xf numFmtId="42" fontId="12" fillId="3" borderId="27" xfId="2" applyNumberFormat="1" applyFont="1" applyFill="1" applyBorder="1"/>
    <xf numFmtId="42" fontId="2" fillId="9" borderId="25" xfId="2" applyNumberFormat="1" applyFont="1" applyFill="1" applyBorder="1"/>
    <xf numFmtId="42" fontId="12" fillId="3" borderId="18" xfId="2" applyNumberFormat="1" applyFont="1" applyFill="1" applyBorder="1"/>
    <xf numFmtId="42" fontId="1" fillId="7" borderId="0" xfId="4" applyNumberFormat="1" applyFont="1" applyFill="1"/>
    <xf numFmtId="42" fontId="1" fillId="7" borderId="0" xfId="5" applyNumberFormat="1" applyFont="1" applyFill="1" applyBorder="1"/>
    <xf numFmtId="42" fontId="12" fillId="9" borderId="23" xfId="2" applyNumberFormat="1" applyFont="1" applyFill="1" applyBorder="1"/>
    <xf numFmtId="42" fontId="12" fillId="9" borderId="24" xfId="2" applyNumberFormat="1" applyFont="1" applyFill="1" applyBorder="1"/>
    <xf numFmtId="42" fontId="9" fillId="9" borderId="8" xfId="2" applyNumberFormat="1" applyFont="1" applyFill="1" applyBorder="1"/>
    <xf numFmtId="42" fontId="1" fillId="3" borderId="2" xfId="2" applyNumberFormat="1" applyFont="1" applyFill="1" applyBorder="1" applyProtection="1"/>
    <xf numFmtId="42" fontId="0" fillId="3" borderId="2" xfId="0" applyNumberFormat="1" applyFill="1" applyBorder="1"/>
    <xf numFmtId="42" fontId="1" fillId="3" borderId="0" xfId="2" applyNumberFormat="1" applyFont="1" applyFill="1" applyBorder="1" applyProtection="1"/>
    <xf numFmtId="42" fontId="0" fillId="3" borderId="0" xfId="0" applyNumberFormat="1" applyFill="1"/>
    <xf numFmtId="42" fontId="1" fillId="3" borderId="16" xfId="2" applyNumberFormat="1" applyFont="1" applyFill="1" applyBorder="1" applyProtection="1"/>
    <xf numFmtId="42" fontId="0" fillId="3" borderId="16" xfId="0" applyNumberFormat="1" applyFill="1" applyBorder="1"/>
    <xf numFmtId="42" fontId="14" fillId="7" borderId="0" xfId="0" applyNumberFormat="1" applyFont="1" applyFill="1"/>
    <xf numFmtId="42" fontId="14" fillId="7" borderId="0" xfId="2" applyNumberFormat="1" applyFont="1" applyFill="1" applyBorder="1" applyProtection="1"/>
    <xf numFmtId="42" fontId="2" fillId="4" borderId="27" xfId="2" applyNumberFormat="1" applyFont="1" applyFill="1" applyBorder="1" applyProtection="1"/>
    <xf numFmtId="42" fontId="0" fillId="2" borderId="10" xfId="2" applyNumberFormat="1" applyFont="1" applyFill="1" applyBorder="1" applyProtection="1">
      <protection locked="0"/>
    </xf>
    <xf numFmtId="42" fontId="0" fillId="2" borderId="23" xfId="2" applyNumberFormat="1" applyFont="1" applyFill="1" applyBorder="1" applyProtection="1">
      <protection locked="0"/>
    </xf>
    <xf numFmtId="42" fontId="0" fillId="3" borderId="0" xfId="2" applyNumberFormat="1" applyFont="1" applyFill="1" applyBorder="1" applyProtection="1"/>
    <xf numFmtId="42" fontId="0" fillId="2" borderId="29" xfId="2" applyNumberFormat="1" applyFont="1" applyFill="1" applyBorder="1" applyProtection="1">
      <protection locked="0"/>
    </xf>
    <xf numFmtId="42" fontId="0" fillId="2" borderId="24" xfId="2" applyNumberFormat="1" applyFont="1" applyFill="1" applyBorder="1" applyProtection="1">
      <protection locked="0"/>
    </xf>
    <xf numFmtId="42" fontId="0" fillId="2" borderId="30" xfId="2" applyNumberFormat="1" applyFont="1" applyFill="1" applyBorder="1" applyProtection="1">
      <protection locked="0"/>
    </xf>
    <xf numFmtId="42" fontId="0" fillId="2" borderId="25" xfId="2" applyNumberFormat="1" applyFont="1" applyFill="1" applyBorder="1" applyProtection="1">
      <protection locked="0"/>
    </xf>
    <xf numFmtId="42" fontId="0" fillId="7" borderId="0" xfId="2" applyNumberFormat="1" applyFont="1" applyFill="1" applyBorder="1" applyProtection="1"/>
    <xf numFmtId="42" fontId="14" fillId="7" borderId="0" xfId="2" applyNumberFormat="1" applyFont="1" applyFill="1" applyBorder="1" applyAlignment="1" applyProtection="1">
      <alignment horizontal="center"/>
    </xf>
    <xf numFmtId="42" fontId="18" fillId="3" borderId="9" xfId="2" applyNumberFormat="1" applyFont="1" applyFill="1" applyBorder="1" applyProtection="1"/>
    <xf numFmtId="42" fontId="18" fillId="3" borderId="19" xfId="2" applyNumberFormat="1" applyFont="1" applyFill="1" applyBorder="1" applyProtection="1"/>
    <xf numFmtId="42" fontId="18" fillId="3" borderId="32" xfId="2" applyNumberFormat="1" applyFont="1" applyFill="1" applyBorder="1" applyProtection="1"/>
    <xf numFmtId="42" fontId="18" fillId="3" borderId="33" xfId="2" applyNumberFormat="1" applyFont="1" applyFill="1" applyBorder="1" applyProtection="1"/>
    <xf numFmtId="42" fontId="18" fillId="4" borderId="28" xfId="2" applyNumberFormat="1" applyFont="1" applyFill="1" applyBorder="1" applyProtection="1"/>
    <xf numFmtId="42" fontId="18" fillId="4" borderId="18" xfId="2" applyNumberFormat="1" applyFont="1" applyFill="1" applyBorder="1" applyProtection="1"/>
    <xf numFmtId="42" fontId="0" fillId="7" borderId="16" xfId="2" applyNumberFormat="1" applyFont="1" applyFill="1" applyBorder="1" applyProtection="1"/>
    <xf numFmtId="44" fontId="0" fillId="0" borderId="0" xfId="2" applyFont="1"/>
    <xf numFmtId="168" fontId="0" fillId="0" borderId="0" xfId="0" applyNumberFormat="1"/>
    <xf numFmtId="0" fontId="32" fillId="0" borderId="0" xfId="0" applyFont="1"/>
    <xf numFmtId="44" fontId="30" fillId="3" borderId="29" xfId="2" applyFont="1" applyFill="1" applyBorder="1"/>
    <xf numFmtId="44" fontId="30" fillId="3" borderId="0" xfId="2" applyFont="1" applyFill="1" applyBorder="1"/>
    <xf numFmtId="44" fontId="30" fillId="3" borderId="13" xfId="2" applyFont="1" applyFill="1" applyBorder="1"/>
    <xf numFmtId="1" fontId="2" fillId="2" borderId="35" xfId="0" applyNumberFormat="1" applyFont="1" applyFill="1" applyBorder="1" applyAlignment="1" applyProtection="1">
      <alignment horizontal="center"/>
      <protection locked="0"/>
    </xf>
    <xf numFmtId="1" fontId="2" fillId="2" borderId="39" xfId="0" applyNumberFormat="1" applyFont="1" applyFill="1" applyBorder="1" applyAlignment="1" applyProtection="1">
      <alignment horizontal="center"/>
      <protection locked="0"/>
    </xf>
    <xf numFmtId="0" fontId="14" fillId="7" borderId="0" xfId="0" applyFont="1" applyFill="1" applyAlignment="1">
      <alignment horizontal="right"/>
    </xf>
    <xf numFmtId="0" fontId="14" fillId="7" borderId="0" xfId="0" applyFont="1" applyFill="1" applyAlignment="1">
      <alignment horizontal="left"/>
    </xf>
    <xf numFmtId="0" fontId="14" fillId="7" borderId="14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4" fillId="7" borderId="0" xfId="0" applyFont="1" applyFill="1" applyAlignment="1">
      <alignment horizontal="left" indent="1"/>
    </xf>
    <xf numFmtId="2" fontId="0" fillId="0" borderId="0" xfId="1" applyNumberFormat="1" applyFont="1"/>
    <xf numFmtId="0" fontId="14" fillId="7" borderId="51" xfId="0" applyFont="1" applyFill="1" applyBorder="1" applyAlignment="1">
      <alignment horizontal="center"/>
    </xf>
    <xf numFmtId="0" fontId="14" fillId="7" borderId="48" xfId="0" applyFont="1" applyFill="1" applyBorder="1" applyAlignment="1">
      <alignment horizontal="center"/>
    </xf>
    <xf numFmtId="0" fontId="16" fillId="7" borderId="46" xfId="0" applyFont="1" applyFill="1" applyBorder="1" applyAlignment="1">
      <alignment horizontal="center"/>
    </xf>
    <xf numFmtId="0" fontId="16" fillId="7" borderId="49" xfId="0" applyFont="1" applyFill="1" applyBorder="1" applyAlignment="1">
      <alignment horizontal="center"/>
    </xf>
    <xf numFmtId="1" fontId="2" fillId="5" borderId="45" xfId="0" applyNumberFormat="1" applyFont="1" applyFill="1" applyBorder="1" applyProtection="1">
      <protection locked="0"/>
    </xf>
    <xf numFmtId="9" fontId="2" fillId="5" borderId="45" xfId="1" applyFont="1" applyFill="1" applyBorder="1" applyProtection="1">
      <protection locked="0"/>
    </xf>
    <xf numFmtId="0" fontId="14" fillId="7" borderId="47" xfId="0" applyFont="1" applyFill="1" applyBorder="1" applyAlignment="1">
      <alignment horizontal="center"/>
    </xf>
    <xf numFmtId="9" fontId="2" fillId="5" borderId="53" xfId="1" applyFont="1" applyFill="1" applyBorder="1" applyAlignment="1" applyProtection="1">
      <alignment horizontal="center"/>
      <protection locked="0"/>
    </xf>
    <xf numFmtId="0" fontId="14" fillId="7" borderId="50" xfId="0" applyFont="1" applyFill="1" applyBorder="1" applyAlignment="1">
      <alignment horizontal="center"/>
    </xf>
    <xf numFmtId="9" fontId="2" fillId="5" borderId="45" xfId="1" applyFont="1" applyFill="1" applyBorder="1" applyAlignment="1" applyProtection="1">
      <alignment horizontal="center"/>
      <protection locked="0"/>
    </xf>
    <xf numFmtId="0" fontId="14" fillId="2" borderId="45" xfId="0" applyFont="1" applyFill="1" applyBorder="1" applyAlignment="1" applyProtection="1">
      <alignment horizontal="center"/>
      <protection locked="0"/>
    </xf>
    <xf numFmtId="0" fontId="15" fillId="7" borderId="0" xfId="0" applyFont="1" applyFill="1"/>
    <xf numFmtId="0" fontId="33" fillId="7" borderId="0" xfId="0" applyFont="1" applyFill="1"/>
    <xf numFmtId="0" fontId="0" fillId="5" borderId="5" xfId="0" applyFill="1" applyBorder="1" applyAlignment="1" applyProtection="1">
      <alignment horizontal="center"/>
      <protection locked="0"/>
    </xf>
    <xf numFmtId="169" fontId="0" fillId="5" borderId="8" xfId="2" applyNumberFormat="1" applyFont="1" applyFill="1" applyBorder="1" applyProtection="1">
      <protection locked="0"/>
    </xf>
    <xf numFmtId="169" fontId="0" fillId="8" borderId="12" xfId="2" applyNumberFormat="1" applyFont="1" applyFill="1" applyBorder="1"/>
    <xf numFmtId="169" fontId="2" fillId="3" borderId="0" xfId="2" applyNumberFormat="1" applyFont="1" applyFill="1"/>
    <xf numFmtId="170" fontId="0" fillId="7" borderId="0" xfId="2" applyNumberFormat="1" applyFont="1" applyFill="1"/>
    <xf numFmtId="169" fontId="0" fillId="8" borderId="9" xfId="2" applyNumberFormat="1" applyFont="1" applyFill="1" applyBorder="1"/>
    <xf numFmtId="169" fontId="6" fillId="8" borderId="11" xfId="2" applyNumberFormat="1" applyFont="1" applyFill="1" applyBorder="1"/>
    <xf numFmtId="169" fontId="0" fillId="8" borderId="11" xfId="2" applyNumberFormat="1" applyFont="1" applyFill="1" applyBorder="1"/>
    <xf numFmtId="169" fontId="2" fillId="3" borderId="12" xfId="2" applyNumberFormat="1" applyFont="1" applyFill="1" applyBorder="1"/>
    <xf numFmtId="42" fontId="0" fillId="8" borderId="11" xfId="0" applyNumberFormat="1" applyFill="1" applyBorder="1"/>
    <xf numFmtId="42" fontId="12" fillId="8" borderId="11" xfId="0" applyNumberFormat="1" applyFont="1" applyFill="1" applyBorder="1"/>
    <xf numFmtId="42" fontId="2" fillId="3" borderId="12" xfId="0" applyNumberFormat="1" applyFont="1" applyFill="1" applyBorder="1"/>
    <xf numFmtId="42" fontId="0" fillId="8" borderId="11" xfId="3" applyNumberFormat="1" applyFont="1" applyFill="1" applyBorder="1" applyProtection="1"/>
    <xf numFmtId="42" fontId="8" fillId="3" borderId="9" xfId="0" applyNumberFormat="1" applyFont="1" applyFill="1" applyBorder="1"/>
    <xf numFmtId="42" fontId="2" fillId="3" borderId="11" xfId="0" applyNumberFormat="1" applyFont="1" applyFill="1" applyBorder="1"/>
    <xf numFmtId="42" fontId="0" fillId="8" borderId="11" xfId="2" applyNumberFormat="1" applyFont="1" applyFill="1" applyBorder="1" applyAlignment="1" applyProtection="1">
      <alignment horizontal="right"/>
    </xf>
    <xf numFmtId="42" fontId="2" fillId="3" borderId="9" xfId="0" applyNumberFormat="1" applyFont="1" applyFill="1" applyBorder="1"/>
    <xf numFmtId="169" fontId="0" fillId="4" borderId="12" xfId="2" applyNumberFormat="1" applyFont="1" applyFill="1" applyBorder="1"/>
    <xf numFmtId="169" fontId="0" fillId="4" borderId="23" xfId="2" applyNumberFormat="1" applyFont="1" applyFill="1" applyBorder="1"/>
    <xf numFmtId="169" fontId="6" fillId="4" borderId="24" xfId="2" applyNumberFormat="1" applyFont="1" applyFill="1" applyBorder="1"/>
    <xf numFmtId="169" fontId="0" fillId="4" borderId="24" xfId="2" applyNumberFormat="1" applyFont="1" applyFill="1" applyBorder="1"/>
    <xf numFmtId="169" fontId="0" fillId="4" borderId="25" xfId="2" applyNumberFormat="1" applyFont="1" applyFill="1" applyBorder="1"/>
    <xf numFmtId="42" fontId="0" fillId="4" borderId="24" xfId="0" applyNumberFormat="1" applyFill="1" applyBorder="1"/>
    <xf numFmtId="42" fontId="0" fillId="4" borderId="25" xfId="0" applyNumberFormat="1" applyFill="1" applyBorder="1"/>
    <xf numFmtId="42" fontId="0" fillId="4" borderId="24" xfId="3" applyNumberFormat="1" applyFont="1" applyFill="1" applyBorder="1" applyProtection="1"/>
    <xf numFmtId="42" fontId="0" fillId="4" borderId="23" xfId="2" applyNumberFormat="1" applyFont="1" applyFill="1" applyBorder="1" applyAlignment="1" applyProtection="1">
      <alignment horizontal="right"/>
    </xf>
    <xf numFmtId="42" fontId="0" fillId="4" borderId="24" xfId="2" applyNumberFormat="1" applyFont="1" applyFill="1" applyBorder="1" applyAlignment="1" applyProtection="1">
      <alignment horizontal="right"/>
    </xf>
    <xf numFmtId="42" fontId="0" fillId="4" borderId="25" xfId="2" applyNumberFormat="1" applyFont="1" applyFill="1" applyBorder="1" applyAlignment="1" applyProtection="1">
      <alignment horizontal="right"/>
    </xf>
    <xf numFmtId="42" fontId="2" fillId="3" borderId="19" xfId="2" applyNumberFormat="1" applyFont="1" applyFill="1" applyBorder="1" applyProtection="1"/>
    <xf numFmtId="42" fontId="0" fillId="5" borderId="23" xfId="0" applyNumberFormat="1" applyFill="1" applyBorder="1" applyProtection="1">
      <protection locked="0"/>
    </xf>
    <xf numFmtId="42" fontId="0" fillId="5" borderId="24" xfId="0" applyNumberFormat="1" applyFill="1" applyBorder="1" applyProtection="1">
      <protection locked="0"/>
    </xf>
    <xf numFmtId="42" fontId="0" fillId="5" borderId="25" xfId="0" applyNumberFormat="1" applyFill="1" applyBorder="1" applyProtection="1">
      <protection locked="0"/>
    </xf>
    <xf numFmtId="42" fontId="2" fillId="3" borderId="13" xfId="0" applyNumberFormat="1" applyFont="1" applyFill="1" applyBorder="1"/>
    <xf numFmtId="42" fontId="9" fillId="7" borderId="11" xfId="0" applyNumberFormat="1" applyFont="1" applyFill="1" applyBorder="1"/>
    <xf numFmtId="42" fontId="0" fillId="0" borderId="0" xfId="2" applyNumberFormat="1" applyFont="1"/>
    <xf numFmtId="42" fontId="0" fillId="7" borderId="4" xfId="0" applyNumberFormat="1" applyFill="1" applyBorder="1"/>
    <xf numFmtId="42" fontId="0" fillId="4" borderId="9" xfId="0" applyNumberFormat="1" applyFill="1" applyBorder="1"/>
    <xf numFmtId="42" fontId="0" fillId="4" borderId="11" xfId="0" applyNumberFormat="1" applyFill="1" applyBorder="1"/>
    <xf numFmtId="42" fontId="0" fillId="4" borderId="28" xfId="0" applyNumberFormat="1" applyFill="1" applyBorder="1"/>
    <xf numFmtId="42" fontId="0" fillId="7" borderId="0" xfId="0" applyNumberFormat="1" applyFill="1"/>
    <xf numFmtId="42" fontId="0" fillId="4" borderId="19" xfId="0" applyNumberFormat="1" applyFill="1" applyBorder="1"/>
    <xf numFmtId="42" fontId="0" fillId="4" borderId="0" xfId="0" applyNumberFormat="1" applyFill="1"/>
    <xf numFmtId="42" fontId="0" fillId="4" borderId="18" xfId="0" applyNumberFormat="1" applyFill="1" applyBorder="1"/>
    <xf numFmtId="42" fontId="0" fillId="4" borderId="30" xfId="0" applyNumberFormat="1" applyFill="1" applyBorder="1"/>
    <xf numFmtId="44" fontId="2" fillId="3" borderId="0" xfId="0" applyNumberFormat="1" applyFont="1" applyFill="1" applyAlignment="1">
      <alignment horizontal="left"/>
    </xf>
    <xf numFmtId="42" fontId="0" fillId="7" borderId="24" xfId="0" applyNumberFormat="1" applyFill="1" applyBorder="1"/>
    <xf numFmtId="42" fontId="0" fillId="7" borderId="24" xfId="2" applyNumberFormat="1" applyFont="1" applyFill="1" applyBorder="1" applyAlignment="1" applyProtection="1">
      <alignment horizontal="center"/>
    </xf>
    <xf numFmtId="42" fontId="2" fillId="7" borderId="0" xfId="2" applyNumberFormat="1" applyFont="1" applyFill="1" applyBorder="1" applyAlignment="1" applyProtection="1">
      <alignment horizontal="left"/>
    </xf>
    <xf numFmtId="44" fontId="2" fillId="7" borderId="0" xfId="0" applyNumberFormat="1" applyFont="1" applyFill="1" applyAlignment="1">
      <alignment horizontal="left"/>
    </xf>
    <xf numFmtId="42" fontId="0" fillId="3" borderId="12" xfId="0" applyNumberFormat="1" applyFill="1" applyBorder="1"/>
    <xf numFmtId="42" fontId="0" fillId="3" borderId="27" xfId="0" applyNumberFormat="1" applyFill="1" applyBorder="1"/>
    <xf numFmtId="42" fontId="0" fillId="3" borderId="13" xfId="0" applyNumberFormat="1" applyFill="1" applyBorder="1"/>
    <xf numFmtId="42" fontId="0" fillId="8" borderId="1" xfId="0" applyNumberFormat="1" applyFill="1" applyBorder="1" applyAlignment="1">
      <alignment horizontal="center"/>
    </xf>
    <xf numFmtId="42" fontId="0" fillId="8" borderId="4" xfId="0" applyNumberFormat="1" applyFill="1" applyBorder="1" applyAlignment="1">
      <alignment horizontal="center"/>
    </xf>
    <xf numFmtId="44" fontId="0" fillId="8" borderId="4" xfId="0" applyNumberFormat="1" applyFill="1" applyBorder="1" applyAlignment="1">
      <alignment horizontal="center"/>
    </xf>
    <xf numFmtId="42" fontId="0" fillId="3" borderId="5" xfId="0" applyNumberFormat="1" applyFill="1" applyBorder="1" applyAlignment="1">
      <alignment horizontal="center"/>
    </xf>
    <xf numFmtId="42" fontId="0" fillId="8" borderId="1" xfId="2" applyNumberFormat="1" applyFont="1" applyFill="1" applyBorder="1"/>
    <xf numFmtId="42" fontId="0" fillId="8" borderId="4" xfId="2" applyNumberFormat="1" applyFont="1" applyFill="1" applyBorder="1"/>
    <xf numFmtId="169" fontId="0" fillId="8" borderId="4" xfId="2" applyNumberFormat="1" applyFont="1" applyFill="1" applyBorder="1"/>
    <xf numFmtId="42" fontId="0" fillId="3" borderId="21" xfId="0" applyNumberFormat="1" applyFill="1" applyBorder="1"/>
    <xf numFmtId="42" fontId="0" fillId="8" borderId="2" xfId="0" applyNumberFormat="1" applyFill="1" applyBorder="1"/>
    <xf numFmtId="44" fontId="0" fillId="8" borderId="0" xfId="0" applyNumberFormat="1" applyFill="1"/>
    <xf numFmtId="169" fontId="0" fillId="8" borderId="2" xfId="2" applyNumberFormat="1" applyFont="1" applyFill="1" applyBorder="1"/>
    <xf numFmtId="42" fontId="0" fillId="8" borderId="0" xfId="2" applyNumberFormat="1" applyFont="1" applyFill="1" applyBorder="1"/>
    <xf numFmtId="169" fontId="0" fillId="8" borderId="0" xfId="2" applyNumberFormat="1" applyFont="1" applyFill="1" applyBorder="1"/>
    <xf numFmtId="42" fontId="0" fillId="3" borderId="26" xfId="0" applyNumberFormat="1" applyFill="1" applyBorder="1"/>
    <xf numFmtId="42" fontId="0" fillId="8" borderId="3" xfId="0" applyNumberFormat="1" applyFill="1" applyBorder="1" applyAlignment="1">
      <alignment horizontal="center"/>
    </xf>
    <xf numFmtId="42" fontId="0" fillId="8" borderId="14" xfId="0" applyNumberFormat="1" applyFill="1" applyBorder="1" applyAlignment="1">
      <alignment horizontal="center"/>
    </xf>
    <xf numFmtId="42" fontId="0" fillId="8" borderId="20" xfId="0" applyNumberFormat="1" applyFill="1" applyBorder="1"/>
    <xf numFmtId="42" fontId="0" fillId="8" borderId="6" xfId="0" applyNumberFormat="1" applyFill="1" applyBorder="1"/>
    <xf numFmtId="42" fontId="0" fillId="3" borderId="5" xfId="0" applyNumberFormat="1" applyFill="1" applyBorder="1"/>
    <xf numFmtId="42" fontId="2" fillId="0" borderId="0" xfId="0" applyNumberFormat="1" applyFont="1"/>
    <xf numFmtId="169" fontId="0" fillId="3" borderId="38" xfId="2" applyNumberFormat="1" applyFont="1" applyFill="1" applyBorder="1" applyProtection="1"/>
    <xf numFmtId="169" fontId="0" fillId="3" borderId="11" xfId="2" applyNumberFormat="1" applyFont="1" applyFill="1" applyBorder="1" applyProtection="1"/>
    <xf numFmtId="42" fontId="0" fillId="3" borderId="11" xfId="0" applyNumberFormat="1" applyFill="1" applyBorder="1"/>
    <xf numFmtId="42" fontId="0" fillId="3" borderId="40" xfId="0" applyNumberFormat="1" applyFill="1" applyBorder="1"/>
    <xf numFmtId="44" fontId="0" fillId="3" borderId="20" xfId="0" applyNumberFormat="1" applyFill="1" applyBorder="1"/>
    <xf numFmtId="44" fontId="0" fillId="3" borderId="7" xfId="0" applyNumberFormat="1" applyFill="1" applyBorder="1"/>
    <xf numFmtId="169" fontId="15" fillId="7" borderId="0" xfId="0" applyNumberFormat="1" applyFont="1" applyFill="1"/>
    <xf numFmtId="169" fontId="15" fillId="7" borderId="26" xfId="0" applyNumberFormat="1" applyFont="1" applyFill="1" applyBorder="1"/>
    <xf numFmtId="169" fontId="2" fillId="3" borderId="37" xfId="0" applyNumberFormat="1" applyFont="1" applyFill="1" applyBorder="1"/>
    <xf numFmtId="169" fontId="2" fillId="3" borderId="35" xfId="2" applyNumberFormat="1" applyFont="1" applyFill="1" applyBorder="1" applyAlignment="1" applyProtection="1">
      <alignment horizontal="center"/>
    </xf>
    <xf numFmtId="169" fontId="2" fillId="3" borderId="42" xfId="0" applyNumberFormat="1" applyFont="1" applyFill="1" applyBorder="1"/>
    <xf numFmtId="169" fontId="0" fillId="3" borderId="39" xfId="0" applyNumberFormat="1" applyFill="1" applyBorder="1"/>
    <xf numFmtId="169" fontId="0" fillId="3" borderId="37" xfId="0" applyNumberFormat="1" applyFill="1" applyBorder="1"/>
    <xf numFmtId="169" fontId="15" fillId="7" borderId="2" xfId="0" applyNumberFormat="1" applyFont="1" applyFill="1" applyBorder="1"/>
    <xf numFmtId="169" fontId="0" fillId="3" borderId="35" xfId="0" applyNumberFormat="1" applyFill="1" applyBorder="1"/>
    <xf numFmtId="169" fontId="0" fillId="3" borderId="44" xfId="0" applyNumberFormat="1" applyFill="1" applyBorder="1"/>
    <xf numFmtId="169" fontId="0" fillId="3" borderId="36" xfId="0" applyNumberFormat="1" applyFill="1" applyBorder="1"/>
    <xf numFmtId="169" fontId="0" fillId="3" borderId="41" xfId="0" applyNumberFormat="1" applyFill="1" applyBorder="1"/>
    <xf numFmtId="169" fontId="2" fillId="3" borderId="44" xfId="0" applyNumberFormat="1" applyFont="1" applyFill="1" applyBorder="1"/>
    <xf numFmtId="169" fontId="1" fillId="2" borderId="36" xfId="2" applyNumberFormat="1" applyFont="1" applyFill="1" applyBorder="1" applyAlignment="1" applyProtection="1">
      <alignment horizontal="center"/>
      <protection locked="0"/>
    </xf>
    <xf numFmtId="169" fontId="2" fillId="3" borderId="43" xfId="0" applyNumberFormat="1" applyFont="1" applyFill="1" applyBorder="1"/>
    <xf numFmtId="44" fontId="0" fillId="7" borderId="0" xfId="0" applyNumberFormat="1" applyFill="1"/>
    <xf numFmtId="169" fontId="0" fillId="0" borderId="0" xfId="0" applyNumberFormat="1"/>
    <xf numFmtId="44" fontId="0" fillId="8" borderId="23" xfId="2" applyFont="1" applyFill="1" applyBorder="1" applyProtection="1"/>
    <xf numFmtId="44" fontId="0" fillId="8" borderId="24" xfId="2" applyFont="1" applyFill="1" applyBorder="1" applyProtection="1"/>
    <xf numFmtId="44" fontId="0" fillId="8" borderId="25" xfId="2" applyFont="1" applyFill="1" applyBorder="1" applyProtection="1"/>
    <xf numFmtId="44" fontId="2" fillId="5" borderId="50" xfId="2" applyFont="1" applyFill="1" applyBorder="1" applyAlignment="1" applyProtection="1">
      <alignment horizontal="center"/>
      <protection locked="0"/>
    </xf>
    <xf numFmtId="44" fontId="2" fillId="5" borderId="51" xfId="2" applyFont="1" applyFill="1" applyBorder="1" applyAlignment="1" applyProtection="1">
      <alignment horizontal="center"/>
      <protection locked="0"/>
    </xf>
    <xf numFmtId="44" fontId="2" fillId="5" borderId="49" xfId="2" applyFont="1" applyFill="1" applyBorder="1" applyProtection="1">
      <protection locked="0"/>
    </xf>
    <xf numFmtId="44" fontId="2" fillId="5" borderId="50" xfId="2" applyFont="1" applyFill="1" applyBorder="1" applyProtection="1">
      <protection locked="0"/>
    </xf>
    <xf numFmtId="44" fontId="2" fillId="5" borderId="51" xfId="2" applyFont="1" applyFill="1" applyBorder="1" applyProtection="1">
      <protection locked="0"/>
    </xf>
    <xf numFmtId="44" fontId="0" fillId="7" borderId="0" xfId="2" applyFont="1" applyFill="1" applyBorder="1" applyProtection="1"/>
    <xf numFmtId="44" fontId="14" fillId="7" borderId="0" xfId="2" applyFont="1" applyFill="1" applyBorder="1" applyAlignment="1" applyProtection="1">
      <alignment horizontal="center"/>
    </xf>
    <xf numFmtId="44" fontId="0" fillId="7" borderId="16" xfId="2" applyFont="1" applyFill="1" applyBorder="1" applyProtection="1"/>
    <xf numFmtId="44" fontId="0" fillId="2" borderId="6" xfId="2" applyFont="1" applyFill="1" applyBorder="1" applyAlignment="1" applyProtection="1">
      <alignment horizontal="center"/>
      <protection locked="0"/>
    </xf>
    <xf numFmtId="44" fontId="0" fillId="2" borderId="7" xfId="2" applyFont="1" applyFill="1" applyBorder="1" applyAlignment="1" applyProtection="1">
      <alignment horizontal="center"/>
      <protection locked="0"/>
    </xf>
    <xf numFmtId="44" fontId="0" fillId="2" borderId="20" xfId="2" applyFont="1" applyFill="1" applyBorder="1" applyAlignment="1" applyProtection="1">
      <alignment horizontal="center"/>
      <protection locked="0"/>
    </xf>
    <xf numFmtId="44" fontId="1" fillId="3" borderId="6" xfId="2" applyFont="1" applyFill="1" applyBorder="1" applyAlignment="1" applyProtection="1">
      <alignment horizontal="center"/>
    </xf>
    <xf numFmtId="44" fontId="1" fillId="3" borderId="7" xfId="2" applyFont="1" applyFill="1" applyBorder="1" applyAlignment="1" applyProtection="1">
      <alignment horizontal="center"/>
    </xf>
    <xf numFmtId="44" fontId="1" fillId="3" borderId="20" xfId="2" applyFont="1" applyFill="1" applyBorder="1" applyAlignment="1" applyProtection="1">
      <alignment horizontal="center"/>
    </xf>
    <xf numFmtId="44" fontId="2" fillId="0" borderId="0" xfId="2" applyFont="1"/>
    <xf numFmtId="0" fontId="14" fillId="7" borderId="2" xfId="0" applyFont="1" applyFill="1" applyBorder="1" applyAlignment="1">
      <alignment horizontal="center"/>
    </xf>
    <xf numFmtId="0" fontId="14" fillId="7" borderId="3" xfId="0" applyFont="1" applyFill="1" applyBorder="1" applyAlignment="1">
      <alignment horizontal="center"/>
    </xf>
    <xf numFmtId="9" fontId="0" fillId="0" borderId="0" xfId="0" applyNumberFormat="1"/>
    <xf numFmtId="0" fontId="2" fillId="0" borderId="0" xfId="0" applyFont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42" fontId="2" fillId="0" borderId="18" xfId="0" applyNumberFormat="1" applyFont="1" applyBorder="1" applyAlignment="1">
      <alignment horizontal="center"/>
    </xf>
    <xf numFmtId="169" fontId="2" fillId="0" borderId="18" xfId="0" applyNumberFormat="1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170" fontId="2" fillId="0" borderId="0" xfId="2" applyNumberFormat="1" applyFont="1" applyAlignment="1">
      <alignment horizontal="center"/>
    </xf>
    <xf numFmtId="170" fontId="2" fillId="3" borderId="0" xfId="2" applyNumberFormat="1" applyFont="1" applyFill="1" applyAlignment="1">
      <alignment horizontal="center"/>
    </xf>
    <xf numFmtId="0" fontId="13" fillId="7" borderId="1" xfId="0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/>
    </xf>
    <xf numFmtId="0" fontId="13" fillId="7" borderId="3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left" indent="1"/>
    </xf>
    <xf numFmtId="0" fontId="2" fillId="3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9" fontId="0" fillId="0" borderId="0" xfId="1" applyFont="1" applyAlignment="1">
      <alignment horizontal="center"/>
    </xf>
    <xf numFmtId="0" fontId="14" fillId="7" borderId="31" xfId="0" applyFont="1" applyFill="1" applyBorder="1" applyAlignment="1">
      <alignment horizontal="center"/>
    </xf>
    <xf numFmtId="0" fontId="14" fillId="7" borderId="52" xfId="0" applyFont="1" applyFill="1" applyBorder="1" applyAlignment="1">
      <alignment horizontal="center"/>
    </xf>
    <xf numFmtId="0" fontId="33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9" fillId="7" borderId="0" xfId="0" applyFont="1" applyFill="1" applyAlignment="1">
      <alignment horizontal="left" indent="5"/>
    </xf>
    <xf numFmtId="0" fontId="19" fillId="7" borderId="29" xfId="0" applyFont="1" applyFill="1" applyBorder="1" applyAlignment="1">
      <alignment horizontal="left" indent="5"/>
    </xf>
    <xf numFmtId="0" fontId="17" fillId="7" borderId="0" xfId="0" applyFont="1" applyFill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9" fontId="2" fillId="3" borderId="21" xfId="0" applyNumberFormat="1" applyFont="1" applyFill="1" applyBorder="1" applyAlignment="1">
      <alignment horizontal="center"/>
    </xf>
    <xf numFmtId="9" fontId="2" fillId="3" borderId="26" xfId="0" applyNumberFormat="1" applyFont="1" applyFill="1" applyBorder="1" applyAlignment="1">
      <alignment horizontal="center"/>
    </xf>
    <xf numFmtId="9" fontId="2" fillId="3" borderId="22" xfId="0" applyNumberFormat="1" applyFont="1" applyFill="1" applyBorder="1" applyAlignment="1">
      <alignment horizontal="center"/>
    </xf>
    <xf numFmtId="44" fontId="2" fillId="0" borderId="21" xfId="2" applyFont="1" applyFill="1" applyBorder="1" applyAlignment="1" applyProtection="1">
      <alignment horizontal="center"/>
    </xf>
    <xf numFmtId="44" fontId="2" fillId="0" borderId="26" xfId="2" applyFont="1" applyFill="1" applyBorder="1" applyAlignment="1" applyProtection="1">
      <alignment horizontal="center"/>
    </xf>
    <xf numFmtId="44" fontId="2" fillId="0" borderId="22" xfId="2" applyFont="1" applyFill="1" applyBorder="1" applyAlignment="1" applyProtection="1">
      <alignment horizontal="center"/>
    </xf>
    <xf numFmtId="2" fontId="2" fillId="0" borderId="21" xfId="2" applyNumberFormat="1" applyFont="1" applyFill="1" applyBorder="1" applyAlignment="1" applyProtection="1">
      <alignment horizontal="center"/>
    </xf>
    <xf numFmtId="2" fontId="2" fillId="0" borderId="26" xfId="2" applyNumberFormat="1" applyFont="1" applyFill="1" applyBorder="1" applyAlignment="1" applyProtection="1">
      <alignment horizontal="center"/>
    </xf>
    <xf numFmtId="2" fontId="2" fillId="0" borderId="22" xfId="2" applyNumberFormat="1" applyFont="1" applyFill="1" applyBorder="1" applyAlignment="1" applyProtection="1">
      <alignment horizontal="center"/>
    </xf>
    <xf numFmtId="0" fontId="2" fillId="3" borderId="29" xfId="4" applyFont="1" applyFill="1" applyBorder="1" applyAlignment="1">
      <alignment horizontal="left"/>
    </xf>
    <xf numFmtId="0" fontId="2" fillId="3" borderId="24" xfId="4" applyFont="1" applyFill="1" applyBorder="1" applyAlignment="1">
      <alignment horizontal="left"/>
    </xf>
    <xf numFmtId="0" fontId="4" fillId="7" borderId="2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2" fillId="3" borderId="10" xfId="4" applyFont="1" applyFill="1" applyBorder="1" applyAlignment="1">
      <alignment horizontal="left"/>
    </xf>
    <xf numFmtId="0" fontId="2" fillId="3" borderId="23" xfId="4" applyFont="1" applyFill="1" applyBorder="1" applyAlignment="1">
      <alignment horizontal="left"/>
    </xf>
    <xf numFmtId="0" fontId="2" fillId="3" borderId="0" xfId="0" applyFont="1" applyFill="1" applyAlignment="1">
      <alignment horizontal="left" indent="1"/>
    </xf>
    <xf numFmtId="0" fontId="27" fillId="3" borderId="13" xfId="0" applyFont="1" applyFill="1" applyBorder="1" applyAlignment="1">
      <alignment horizontal="left"/>
    </xf>
    <xf numFmtId="0" fontId="27" fillId="3" borderId="8" xfId="0" applyFont="1" applyFill="1" applyBorder="1" applyAlignment="1">
      <alignment horizontal="left"/>
    </xf>
    <xf numFmtId="0" fontId="27" fillId="3" borderId="12" xfId="0" applyFont="1" applyFill="1" applyBorder="1" applyAlignment="1">
      <alignment horizontal="left"/>
    </xf>
    <xf numFmtId="0" fontId="2" fillId="3" borderId="12" xfId="4" applyFont="1" applyFill="1" applyBorder="1" applyAlignment="1">
      <alignment horizontal="center"/>
    </xf>
    <xf numFmtId="0" fontId="2" fillId="3" borderId="27" xfId="4" applyFont="1" applyFill="1" applyBorder="1" applyAlignment="1">
      <alignment horizontal="center"/>
    </xf>
    <xf numFmtId="0" fontId="2" fillId="3" borderId="13" xfId="4" applyFont="1" applyFill="1" applyBorder="1" applyAlignment="1">
      <alignment horizontal="center"/>
    </xf>
    <xf numFmtId="0" fontId="27" fillId="3" borderId="27" xfId="0" applyFont="1" applyFill="1" applyBorder="1" applyAlignment="1">
      <alignment horizontal="left"/>
    </xf>
    <xf numFmtId="0" fontId="27" fillId="3" borderId="12" xfId="4" applyFont="1" applyFill="1" applyBorder="1" applyAlignment="1">
      <alignment horizontal="left"/>
    </xf>
    <xf numFmtId="0" fontId="27" fillId="3" borderId="27" xfId="4" applyFont="1" applyFill="1" applyBorder="1" applyAlignment="1">
      <alignment horizontal="left"/>
    </xf>
    <xf numFmtId="0" fontId="27" fillId="3" borderId="13" xfId="4" applyFont="1" applyFill="1" applyBorder="1" applyAlignment="1">
      <alignment horizontal="left"/>
    </xf>
    <xf numFmtId="0" fontId="2" fillId="3" borderId="27" xfId="4" applyFont="1" applyFill="1" applyBorder="1" applyAlignment="1">
      <alignment horizontal="left"/>
    </xf>
    <xf numFmtId="0" fontId="2" fillId="3" borderId="13" xfId="4" applyFont="1" applyFill="1" applyBorder="1" applyAlignment="1">
      <alignment horizontal="left"/>
    </xf>
    <xf numFmtId="0" fontId="2" fillId="3" borderId="12" xfId="4" applyFont="1" applyFill="1" applyBorder="1" applyAlignment="1">
      <alignment horizontal="left"/>
    </xf>
  </cellXfs>
  <cellStyles count="7">
    <cellStyle name="Comma" xfId="3" builtinId="3"/>
    <cellStyle name="Comma 2" xfId="5" xr:uid="{E59308B0-F843-3B4E-BB43-9F98B3E5F6CD}"/>
    <cellStyle name="Currency" xfId="2" builtinId="4"/>
    <cellStyle name="Currency 2" xfId="6" xr:uid="{057BC805-1202-9840-9502-19F740F65ACB}"/>
    <cellStyle name="Normal" xfId="0" builtinId="0"/>
    <cellStyle name="Normal 2" xfId="4" xr:uid="{60C8AF05-83AE-AE4E-B94B-8D4CDE7CDBB2}"/>
    <cellStyle name="Percent" xfId="1" builtinId="5"/>
  </cellStyles>
  <dxfs count="0"/>
  <tableStyles count="0" defaultTableStyle="TableStyleMedium2" defaultPivotStyle="PivotStyleLight16"/>
  <colors>
    <mruColors>
      <color rgb="FF71AD47"/>
      <color rgb="FF85B1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Cost Comparison</a:t>
            </a:r>
            <a:r>
              <a:rPr lang="en-US" sz="1800" b="1" baseline="0"/>
              <a:t> by Delivery Method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019800931095826"/>
          <c:y val="7.7951332909553778E-2"/>
          <c:w val="0.78669161777085472"/>
          <c:h val="0.7888839243215688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'Chart Worksheet'!$A$3</c:f>
              <c:strCache>
                <c:ptCount val="1"/>
                <c:pt idx="0">
                  <c:v>Capital Expense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Worksheet'!$B$3:$H$3</c:f>
              <c:numCache>
                <c:formatCode>_("$"* #,##0_);_("$"* \(#,##0\);_("$"* "-"_);_(@_)</c:formatCode>
                <c:ptCount val="7"/>
                <c:pt idx="0">
                  <c:v>100000</c:v>
                </c:pt>
                <c:pt idx="1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C7-CA48-823D-E0D3204592C7}"/>
            </c:ext>
          </c:extLst>
        </c:ser>
        <c:ser>
          <c:idx val="1"/>
          <c:order val="1"/>
          <c:tx>
            <c:strRef>
              <c:f>'Chart Worksheet'!$A$4</c:f>
              <c:strCache>
                <c:ptCount val="1"/>
                <c:pt idx="0">
                  <c:v>Interest / Cost of Money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Worksheet'!$B$4:$H$4</c:f>
              <c:numCache>
                <c:formatCode>_("$"* #,##0_);_("$"* \(#,##0\);_("$"* "-"_);_(@_)</c:formatCode>
                <c:ptCount val="7"/>
                <c:pt idx="0">
                  <c:v>15762.500000000015</c:v>
                </c:pt>
                <c:pt idx="1">
                  <c:v>15762.500000000015</c:v>
                </c:pt>
                <c:pt idx="4">
                  <c:v>15762.500000000015</c:v>
                </c:pt>
                <c:pt idx="5">
                  <c:v>15762.500000000015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C7-CA48-823D-E0D3204592C7}"/>
            </c:ext>
          </c:extLst>
        </c:ser>
        <c:ser>
          <c:idx val="2"/>
          <c:order val="2"/>
          <c:tx>
            <c:strRef>
              <c:f>'Chart Worksheet'!$A$5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Worksheet'!$B$5:$H$5</c:f>
              <c:numCache>
                <c:formatCode>_("$"* #,##0_);_("$"* \(#,##0\);_("$"* "-"_);_(@_)</c:formatCode>
                <c:ptCount val="7"/>
                <c:pt idx="0">
                  <c:v>10000</c:v>
                </c:pt>
                <c:pt idx="1">
                  <c:v>0</c:v>
                </c:pt>
                <c:pt idx="4">
                  <c:v>10000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C7-CA48-823D-E0D3204592C7}"/>
            </c:ext>
          </c:extLst>
        </c:ser>
        <c:ser>
          <c:idx val="3"/>
          <c:order val="3"/>
          <c:tx>
            <c:strRef>
              <c:f>'Chart Worksheet'!$A$6</c:f>
              <c:strCache>
                <c:ptCount val="1"/>
                <c:pt idx="0">
                  <c:v>Implementation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Worksheet'!$B$6:$H$6</c:f>
              <c:numCache>
                <c:formatCode>_("$"* #,##0_);_("$"* \(#,##0\);_("$"* "-"_);_(@_)</c:formatCode>
                <c:ptCount val="7"/>
                <c:pt idx="0">
                  <c:v>36250</c:v>
                </c:pt>
                <c:pt idx="1">
                  <c:v>25000</c:v>
                </c:pt>
                <c:pt idx="4">
                  <c:v>18125</c:v>
                </c:pt>
                <c:pt idx="5">
                  <c:v>12500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C7-CA48-823D-E0D3204592C7}"/>
            </c:ext>
          </c:extLst>
        </c:ser>
        <c:ser>
          <c:idx val="4"/>
          <c:order val="4"/>
          <c:tx>
            <c:strRef>
              <c:f>'Chart Worksheet'!$A$7</c:f>
              <c:strCache>
                <c:ptCount val="1"/>
                <c:pt idx="0">
                  <c:v>3 Years of Management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Worksheet'!$B$7:$H$7</c:f>
              <c:numCache>
                <c:formatCode>_("$"* #,##0_);_("$"* \(#,##0\);_("$"* "-"_);_(@_)</c:formatCode>
                <c:ptCount val="7"/>
                <c:pt idx="0">
                  <c:v>148500</c:v>
                </c:pt>
                <c:pt idx="1">
                  <c:v>90000</c:v>
                </c:pt>
                <c:pt idx="2" formatCode="_(&quot;$&quot;* #,##0.00_);_(&quot;$&quot;* \(#,##0.00\);_(&quot;$&quot;* &quot;-&quot;??_);_(@_)">
                  <c:v>195000</c:v>
                </c:pt>
                <c:pt idx="3">
                  <c:v>148500</c:v>
                </c:pt>
                <c:pt idx="4">
                  <c:v>20047.500000000004</c:v>
                </c:pt>
                <c:pt idx="5">
                  <c:v>12150.000000000004</c:v>
                </c:pt>
                <c:pt idx="6">
                  <c:v>104650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C7-CA48-823D-E0D3204592C7}"/>
            </c:ext>
          </c:extLst>
        </c:ser>
        <c:ser>
          <c:idx val="5"/>
          <c:order val="5"/>
          <c:tx>
            <c:strRef>
              <c:f>'Chart Worksheet'!$A$8</c:f>
              <c:strCache>
                <c:ptCount val="1"/>
                <c:pt idx="0">
                  <c:v>Productivity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Worksheet'!$B$8:$H$8</c:f>
              <c:numCache>
                <c:formatCode>_("$"* #,##0_);_("$"* \(#,##0\);_("$"* "-"_);_(@_)</c:formatCode>
                <c:ptCount val="7"/>
                <c:pt idx="0">
                  <c:v>211500</c:v>
                </c:pt>
                <c:pt idx="1">
                  <c:v>211500</c:v>
                </c:pt>
                <c:pt idx="2">
                  <c:v>211500</c:v>
                </c:pt>
                <c:pt idx="3">
                  <c:v>211500</c:v>
                </c:pt>
                <c:pt idx="4">
                  <c:v>41625.000000000015</c:v>
                </c:pt>
                <c:pt idx="5">
                  <c:v>41625.000000000015</c:v>
                </c:pt>
                <c:pt idx="6">
                  <c:v>41625.000000000015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9-0B46-8C3C-87DE848C6E78}"/>
            </c:ext>
          </c:extLst>
        </c:ser>
        <c:ser>
          <c:idx val="6"/>
          <c:order val="6"/>
          <c:tx>
            <c:strRef>
              <c:f>'Chart Worksheet'!$A$9</c:f>
              <c:strCache>
                <c:ptCount val="1"/>
                <c:pt idx="0">
                  <c:v>Legace Network Management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'Chart Worksheet'!$B$2:$H$2</c:f>
              <c:strCache>
                <c:ptCount val="7"/>
                <c:pt idx="0">
                  <c:v>Compettitor Resell</c:v>
                </c:pt>
                <c:pt idx="1">
                  <c:v>Compettitor Managed</c:v>
                </c:pt>
                <c:pt idx="2">
                  <c:v>Compettitor NaaS</c:v>
                </c:pt>
                <c:pt idx="3">
                  <c:v>Do Nothing</c:v>
                </c:pt>
                <c:pt idx="4">
                  <c:v>Juniper Resell</c:v>
                </c:pt>
                <c:pt idx="5">
                  <c:v>Juniper Managed</c:v>
                </c:pt>
                <c:pt idx="6">
                  <c:v>Juniper NaaS</c:v>
                </c:pt>
              </c:strCache>
            </c:strRef>
          </c:cat>
          <c:val>
            <c:numRef>
              <c:f>'Chart Worksheet'!$B$9:$H$9</c:f>
              <c:numCache>
                <c:formatCode>_("$"* #,##0_);_("$"* \(#,##0\);_("$"*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6-5549-A8CA-C12BF6B15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4364976"/>
        <c:axId val="1864156448"/>
      </c:barChart>
      <c:catAx>
        <c:axId val="1864364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1864156448"/>
        <c:crosses val="autoZero"/>
        <c:auto val="1"/>
        <c:lblAlgn val="ctr"/>
        <c:lblOffset val="100"/>
        <c:noMultiLvlLbl val="0"/>
      </c:catAx>
      <c:valAx>
        <c:axId val="186415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36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4268129533935532E-2"/>
          <c:y val="0.94866061058772611"/>
          <c:w val="0.80756805654311081"/>
          <c:h val="5.1339389412273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TCO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'Chart Worksheet'!$B$13</c:f>
              <c:strCache>
                <c:ptCount val="1"/>
                <c:pt idx="0">
                  <c:v>Compettitor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'Chart Worksheet'!$A$14:$A$17</c:f>
              <c:strCache>
                <c:ptCount val="4"/>
                <c:pt idx="0">
                  <c:v>Business Productivity</c:v>
                </c:pt>
                <c:pt idx="1">
                  <c:v>Management</c:v>
                </c:pt>
                <c:pt idx="2">
                  <c:v>Implementation</c:v>
                </c:pt>
                <c:pt idx="3">
                  <c:v>CapEx</c:v>
                </c:pt>
              </c:strCache>
            </c:strRef>
          </c:cat>
          <c:val>
            <c:numRef>
              <c:f>'Chart Worksheet'!$B$14:$B$17</c:f>
              <c:numCache>
                <c:formatCode>_("$"* #,##0.00_);_("$"* \(#,##0.00\);_("$"* "-"??_);_(@_)</c:formatCode>
                <c:ptCount val="4"/>
                <c:pt idx="0">
                  <c:v>211500</c:v>
                </c:pt>
                <c:pt idx="1">
                  <c:v>90000</c:v>
                </c:pt>
                <c:pt idx="2">
                  <c:v>25000</c:v>
                </c:pt>
                <c:pt idx="3">
                  <c:v>115762.50000000001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C7-0D46-8F25-DAB2BB097EE2}"/>
            </c:ext>
          </c:extLst>
        </c:ser>
        <c:ser>
          <c:idx val="0"/>
          <c:order val="1"/>
          <c:tx>
            <c:strRef>
              <c:f>'Chart Worksheet'!$C$13</c:f>
              <c:strCache>
                <c:ptCount val="1"/>
                <c:pt idx="0">
                  <c:v> Juniper </c:v>
                </c:pt>
              </c:strCache>
            </c:strRef>
          </c:tx>
          <c:spPr>
            <a:solidFill>
              <a:srgbClr val="85B138"/>
            </a:solidFill>
            <a:ln>
              <a:noFill/>
            </a:ln>
            <a:effectLst/>
          </c:spPr>
          <c:invertIfNegative val="0"/>
          <c:cat>
            <c:strRef>
              <c:f>'Chart Worksheet'!$A$14:$A$17</c:f>
              <c:strCache>
                <c:ptCount val="4"/>
                <c:pt idx="0">
                  <c:v>Business Productivity</c:v>
                </c:pt>
                <c:pt idx="1">
                  <c:v>Management</c:v>
                </c:pt>
                <c:pt idx="2">
                  <c:v>Implementation</c:v>
                </c:pt>
                <c:pt idx="3">
                  <c:v>CapEx</c:v>
                </c:pt>
              </c:strCache>
            </c:strRef>
          </c:cat>
          <c:val>
            <c:numRef>
              <c:f>'Chart Worksheet'!$C$14:$C$17</c:f>
              <c:numCache>
                <c:formatCode>_("$"* #,##0.00_);_("$"* \(#,##0.00\);_("$"* "-"??_);_(@_)</c:formatCode>
                <c:ptCount val="4"/>
                <c:pt idx="0">
                  <c:v>41625.000000000015</c:v>
                </c:pt>
                <c:pt idx="1">
                  <c:v>12150.000000000004</c:v>
                </c:pt>
                <c:pt idx="2">
                  <c:v>12500</c:v>
                </c:pt>
                <c:pt idx="3">
                  <c:v>115762.50000000001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C7-0D46-8F25-DAB2BB097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34125136"/>
        <c:axId val="1399132848"/>
      </c:barChart>
      <c:catAx>
        <c:axId val="1634125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132848"/>
        <c:crosses val="autoZero"/>
        <c:auto val="1"/>
        <c:lblAlgn val="ctr"/>
        <c:lblOffset val="100"/>
        <c:noMultiLvlLbl val="0"/>
      </c:catAx>
      <c:valAx>
        <c:axId val="139913284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163412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Consumption Model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'Chart Worksheet'!$D$31</c:f>
              <c:strCache>
                <c:ptCount val="1"/>
                <c:pt idx="0">
                  <c:v> Cost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'Chart Worksheet'!$E$30:$H$30</c:f>
              <c:strCache>
                <c:ptCount val="4"/>
                <c:pt idx="0">
                  <c:v>Do Nothing</c:v>
                </c:pt>
                <c:pt idx="1">
                  <c:v>Resell</c:v>
                </c:pt>
                <c:pt idx="2">
                  <c:v>Managed</c:v>
                </c:pt>
                <c:pt idx="3">
                  <c:v>NaaS</c:v>
                </c:pt>
              </c:strCache>
            </c:strRef>
          </c:cat>
          <c:val>
            <c:numRef>
              <c:f>'Chart Worksheet'!$E$31:$H$31</c:f>
              <c:numCache>
                <c:formatCode>_("$"* #,##0.00_);_("$"* \(#,##0.00\);_("$"* "-"??_);_(@_)</c:formatCode>
                <c:ptCount val="4"/>
                <c:pt idx="0">
                  <c:v>148500</c:v>
                </c:pt>
                <c:pt idx="1">
                  <c:v>163935</c:v>
                </c:pt>
                <c:pt idx="2">
                  <c:v>140412.50000000006</c:v>
                </c:pt>
                <c:pt idx="3">
                  <c:v>104650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6-C848-879B-A8F05DE14D71}"/>
            </c:ext>
          </c:extLst>
        </c:ser>
        <c:ser>
          <c:idx val="1"/>
          <c:order val="1"/>
          <c:tx>
            <c:strRef>
              <c:f>'Chart Worksheet'!$D$32</c:f>
              <c:strCache>
                <c:ptCount val="1"/>
                <c:pt idx="0">
                  <c:v> Profit </c:v>
                </c:pt>
              </c:strCache>
            </c:strRef>
          </c:tx>
          <c:spPr>
            <a:solidFill>
              <a:srgbClr val="85B138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7.9271416382580825E-2"/>
                  <c:y val="-1.4651611940615629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1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29DD618-0895-944A-A3BA-7E59475A3E30}" type="CELLRANGE">
                      <a:rPr lang="en-US"/>
                      <a:pPr>
                        <a:defRPr sz="1100" b="1"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  <a:extLst>
                    <a:ext uri="{C807C97D-BFC1-408E-A445-0C87EB9F89A2}">
                      <ask:lineSketchStyleProps xmlns:ask="http://schemas.microsoft.com/office/drawing/2018/sketchyshapes" sd="0">
                        <a:custGeom>
                          <a:avLst/>
                          <a:gdLst/>
                          <a:ahLst/>
                          <a:cxnLst/>
                          <a:rect l="0" t="0" r="0" b="0"/>
                          <a:pathLst/>
                        </a:custGeom>
                        <ask:type/>
                      </ask:lineSketchStyleProps>
                    </a:ext>
                  </a:extLst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77706"/>
                        <a:gd name="adj2" fmla="val -25429"/>
                      </a:avLst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E3E7-6B43-9216-90BC734DCFF7}"/>
                </c:ext>
              </c:extLst>
            </c:dLbl>
            <c:dLbl>
              <c:idx val="1"/>
              <c:layout>
                <c:manualLayout>
                  <c:x val="0.1170449668806148"/>
                  <c:y val="2.6419614230778796E-2"/>
                </c:manualLayout>
              </c:layout>
              <c:tx>
                <c:rich>
                  <a:bodyPr/>
                  <a:lstStyle/>
                  <a:p>
                    <a:fld id="{68D7C99F-26F0-CB46-B6A9-EFFDD37CD4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E7-6B43-9216-90BC734DCFF7}"/>
                </c:ext>
              </c:extLst>
            </c:dLbl>
            <c:dLbl>
              <c:idx val="2"/>
              <c:layout>
                <c:manualLayout>
                  <c:x val="0.16424051804215314"/>
                  <c:y val="3.8161331130100201E-2"/>
                </c:manualLayout>
              </c:layout>
              <c:tx>
                <c:rich>
                  <a:bodyPr/>
                  <a:lstStyle/>
                  <a:p>
                    <a:fld id="{2B158BCA-2CA1-DE48-9D5E-7C5F2E9B2E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E7-6B43-9216-90BC734DCFF7}"/>
                </c:ext>
              </c:extLst>
            </c:dLbl>
            <c:dLbl>
              <c:idx val="3"/>
              <c:layout>
                <c:manualLayout>
                  <c:x val="0.13969883143815323"/>
                  <c:y val="3.5225844120092498E-2"/>
                </c:manualLayout>
              </c:layout>
              <c:tx>
                <c:rich>
                  <a:bodyPr/>
                  <a:lstStyle/>
                  <a:p>
                    <a:fld id="{F2F6C033-AA68-074A-8650-6C9FECC658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E7-6B43-9216-90BC734DCF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'Chart Worksheet'!$E$30:$H$30</c:f>
              <c:strCache>
                <c:ptCount val="4"/>
                <c:pt idx="0">
                  <c:v>Do Nothing</c:v>
                </c:pt>
                <c:pt idx="1">
                  <c:v>Resell</c:v>
                </c:pt>
                <c:pt idx="2">
                  <c:v>Managed</c:v>
                </c:pt>
                <c:pt idx="3">
                  <c:v>NaaS</c:v>
                </c:pt>
              </c:strCache>
            </c:strRef>
          </c:cat>
          <c:val>
            <c:numRef>
              <c:f>'Chart Worksheet'!$E$32:$H$32</c:f>
              <c:numCache>
                <c:formatCode>_("$"* #,##0.00_);_("$"* \(#,##0.00\);_("$"* "-"??_);_(@_)</c:formatCode>
                <c:ptCount val="4"/>
                <c:pt idx="0">
                  <c:v>0</c:v>
                </c:pt>
                <c:pt idx="1">
                  <c:v>10000</c:v>
                </c:pt>
                <c:pt idx="2">
                  <c:v>18134.5</c:v>
                </c:pt>
                <c:pt idx="3">
                  <c:v>34534.5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'Chart Worksheet'!$E$33:$H$33</c15:f>
                <c15:dlblRangeCache>
                  <c:ptCount val="4"/>
                  <c:pt idx="0">
                    <c:v>0.0% GPM</c:v>
                  </c:pt>
                  <c:pt idx="1">
                    <c:v>5.7% GPM</c:v>
                  </c:pt>
                  <c:pt idx="2">
                    <c:v>11.4% GPM</c:v>
                  </c:pt>
                  <c:pt idx="3">
                    <c:v>24.8% GPM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FFDC-D142-8534-B58078060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828189184"/>
        <c:axId val="706822272"/>
      </c:barChart>
      <c:catAx>
        <c:axId val="8281891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822272"/>
        <c:crosses val="autoZero"/>
        <c:auto val="1"/>
        <c:lblAlgn val="ctr"/>
        <c:lblOffset val="100"/>
        <c:noMultiLvlLbl val="0"/>
      </c:catAx>
      <c:valAx>
        <c:axId val="7068222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88118</xdr:colOff>
      <xdr:row>5</xdr:row>
      <xdr:rowOff>100188</xdr:rowOff>
    </xdr:from>
    <xdr:to>
      <xdr:col>12</xdr:col>
      <xdr:colOff>75418</xdr:colOff>
      <xdr:row>37</xdr:row>
      <xdr:rowOff>100188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445C89-B35F-A748-9695-C6AC61CFC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816578</xdr:colOff>
      <xdr:row>1</xdr:row>
      <xdr:rowOff>75772</xdr:rowOff>
    </xdr:from>
    <xdr:to>
      <xdr:col>21</xdr:col>
      <xdr:colOff>89018</xdr:colOff>
      <xdr:row>23</xdr:row>
      <xdr:rowOff>157052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ECA4300-EFF5-847A-22CC-3905815332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44047</xdr:colOff>
      <xdr:row>25</xdr:row>
      <xdr:rowOff>11401</xdr:rowOff>
    </xdr:from>
    <xdr:to>
      <xdr:col>20</xdr:col>
      <xdr:colOff>76347</xdr:colOff>
      <xdr:row>46</xdr:row>
      <xdr:rowOff>21238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6C9FE4-8B58-F940-B7D9-ECA6E514C3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unipernetworks-my.sharepoint.com/personal/rfraile_juniper_net/Documents/Microsoft%20Teams%20Chat%20Files/Competitive%20TCO%20Calculator%20vR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rester TCO"/>
      <sheetName val="Graphics"/>
      <sheetName val="Assumptions"/>
      <sheetName val="Chart Worksheet"/>
      <sheetName val="Cost of Money Example"/>
    </sheetNames>
    <sheetDataSet>
      <sheetData sheetId="0"/>
      <sheetData sheetId="1"/>
      <sheetData sheetId="2">
        <row r="4">
          <cell r="A4">
            <v>3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83E9-5E70-2A46-9F79-5891B7926C6C}">
  <sheetPr codeName="Sheet1"/>
  <dimension ref="A1:J67"/>
  <sheetViews>
    <sheetView tabSelected="1" zoomScale="190" zoomScaleNormal="190" workbookViewId="0">
      <selection activeCell="G12" sqref="G12"/>
    </sheetView>
  </sheetViews>
  <sheetFormatPr baseColWidth="10" defaultColWidth="10.83203125" defaultRowHeight="16" x14ac:dyDescent="0.2"/>
  <cols>
    <col min="1" max="1" width="2.33203125" customWidth="1"/>
    <col min="2" max="2" width="53.83203125" style="12" bestFit="1" customWidth="1"/>
    <col min="3" max="4" width="20.83203125" customWidth="1"/>
    <col min="5" max="5" width="2.6640625" customWidth="1"/>
    <col min="6" max="6" width="8.33203125" customWidth="1"/>
    <col min="7" max="8" width="17.83203125" customWidth="1"/>
    <col min="9" max="9" width="12.6640625" bestFit="1" customWidth="1"/>
    <col min="10" max="10" width="11.6640625" bestFit="1" customWidth="1"/>
  </cols>
  <sheetData>
    <row r="1" spans="1:8" x14ac:dyDescent="0.2">
      <c r="A1" s="427" t="s">
        <v>307</v>
      </c>
      <c r="B1" s="428"/>
      <c r="C1" s="428"/>
      <c r="D1" s="428"/>
      <c r="E1" s="429"/>
    </row>
    <row r="2" spans="1:8" x14ac:dyDescent="0.2">
      <c r="A2" s="430"/>
      <c r="B2" s="431"/>
      <c r="C2" s="431"/>
      <c r="D2" s="431"/>
      <c r="E2" s="432"/>
    </row>
    <row r="3" spans="1:8" ht="19" customHeight="1" x14ac:dyDescent="0.2">
      <c r="A3" s="33"/>
      <c r="B3" s="34"/>
      <c r="C3" s="34"/>
      <c r="D3" s="34"/>
      <c r="E3" s="35"/>
      <c r="G3" s="423" t="s">
        <v>279</v>
      </c>
      <c r="H3" s="423"/>
    </row>
    <row r="4" spans="1:8" x14ac:dyDescent="0.2">
      <c r="A4" s="2"/>
      <c r="B4" s="3"/>
      <c r="C4" s="436" t="s">
        <v>164</v>
      </c>
      <c r="D4" s="436"/>
      <c r="E4" s="4"/>
      <c r="F4" s="281"/>
      <c r="G4" s="423" t="s">
        <v>280</v>
      </c>
      <c r="H4" s="423"/>
    </row>
    <row r="5" spans="1:8" x14ac:dyDescent="0.2">
      <c r="A5" s="2"/>
      <c r="B5" s="5"/>
      <c r="C5" s="6" t="s">
        <v>5</v>
      </c>
      <c r="D5" s="22" t="s">
        <v>333</v>
      </c>
      <c r="E5" s="4"/>
      <c r="H5" s="14"/>
    </row>
    <row r="6" spans="1:8" x14ac:dyDescent="0.2">
      <c r="A6" s="2"/>
      <c r="B6" s="10" t="s">
        <v>96</v>
      </c>
      <c r="C6" s="308">
        <v>100000</v>
      </c>
      <c r="D6" s="308">
        <v>100000</v>
      </c>
      <c r="E6" s="4"/>
    </row>
    <row r="7" spans="1:8" x14ac:dyDescent="0.2">
      <c r="A7" s="2"/>
      <c r="B7" s="10" t="str">
        <f>"Interest / Cost of Money:  ["&amp;(IntPct*100)&amp;"%] APR"</f>
        <v>Interest / Cost of Money:  [5%] APR</v>
      </c>
      <c r="C7" s="309">
        <f>(C6)*(1+IntPct)^(Term)-(C6)</f>
        <v>15762.500000000015</v>
      </c>
      <c r="D7" s="324">
        <f>(D6)*(1+IntPct)^(Term)-(D6)</f>
        <v>15762.500000000015</v>
      </c>
      <c r="E7" s="4"/>
    </row>
    <row r="8" spans="1:8" x14ac:dyDescent="0.2">
      <c r="A8" s="2"/>
      <c r="B8" s="9"/>
      <c r="C8" s="310">
        <f>SUM(C6:C7)</f>
        <v>115762.50000000001</v>
      </c>
      <c r="D8" s="310">
        <f>SUM(D6:D7)</f>
        <v>115762.50000000001</v>
      </c>
      <c r="E8" s="4"/>
    </row>
    <row r="9" spans="1:8" x14ac:dyDescent="0.2">
      <c r="A9" s="2"/>
      <c r="B9" s="9"/>
      <c r="C9" s="311"/>
      <c r="D9" s="311"/>
      <c r="E9" s="4"/>
    </row>
    <row r="10" spans="1:8" x14ac:dyDescent="0.2">
      <c r="A10" s="2"/>
      <c r="B10" s="5"/>
      <c r="C10" s="437" t="s">
        <v>156</v>
      </c>
      <c r="D10" s="437"/>
      <c r="E10" s="4"/>
    </row>
    <row r="11" spans="1:8" x14ac:dyDescent="0.2">
      <c r="A11" s="2"/>
      <c r="B11" s="36" t="str">
        <f>"Implementation as ["&amp;Install*100&amp;"%] of CAPEX"</f>
        <v>Implementation as [25%] of CAPEX</v>
      </c>
      <c r="C11" s="312">
        <f>C6*Install</f>
        <v>25000</v>
      </c>
      <c r="D11" s="325">
        <f>D6*Install</f>
        <v>25000</v>
      </c>
      <c r="E11" s="4"/>
    </row>
    <row r="12" spans="1:8" ht="19" x14ac:dyDescent="0.35">
      <c r="A12" s="2"/>
      <c r="B12" s="11"/>
      <c r="C12" s="313"/>
      <c r="D12" s="326"/>
      <c r="E12" s="4"/>
      <c r="H12" s="280"/>
    </row>
    <row r="13" spans="1:8" x14ac:dyDescent="0.2">
      <c r="A13" s="2"/>
      <c r="B13" s="36" t="s">
        <v>32</v>
      </c>
      <c r="C13" s="314"/>
      <c r="D13" s="327"/>
      <c r="E13" s="4"/>
    </row>
    <row r="14" spans="1:8" x14ac:dyDescent="0.2">
      <c r="A14" s="2"/>
      <c r="B14" s="11" t="str">
        <f>"["&amp;Deploy*100&amp;"%] less time to deploy with Mist AI"</f>
        <v>[50%] less time to deploy with Mist AI</v>
      </c>
      <c r="C14" s="314">
        <f>(C11*Deploy)*-1</f>
        <v>-12500</v>
      </c>
      <c r="D14" s="328"/>
      <c r="E14" s="4"/>
    </row>
    <row r="15" spans="1:8" x14ac:dyDescent="0.2">
      <c r="A15" s="2"/>
      <c r="B15" s="10" t="s">
        <v>7</v>
      </c>
      <c r="C15" s="315">
        <f>C11+C14</f>
        <v>12500</v>
      </c>
      <c r="D15" s="315">
        <f>D11+D14</f>
        <v>25000</v>
      </c>
      <c r="E15" s="4"/>
      <c r="G15" s="13"/>
    </row>
    <row r="16" spans="1:8" x14ac:dyDescent="0.2">
      <c r="A16" s="2"/>
      <c r="B16" s="5"/>
      <c r="C16" s="311"/>
      <c r="D16" s="311"/>
      <c r="E16" s="4"/>
    </row>
    <row r="17" spans="1:8" x14ac:dyDescent="0.2">
      <c r="A17" s="2"/>
      <c r="B17" s="5"/>
      <c r="C17" s="438" t="str">
        <f>"["&amp;Term&amp; "] Years of Management Cost"</f>
        <v>[3] Years of Management Cost</v>
      </c>
      <c r="D17" s="438"/>
      <c r="E17" s="4"/>
    </row>
    <row r="18" spans="1:8" x14ac:dyDescent="0.2">
      <c r="A18" s="2"/>
      <c r="B18" s="37" t="str">
        <f>"Management as ["&amp;Management*100&amp;"%] of CAPEX per Year"</f>
        <v>Management as [30%] of CAPEX per Year</v>
      </c>
      <c r="C18" s="312">
        <f>(C6*Management)*Term</f>
        <v>90000</v>
      </c>
      <c r="D18" s="325">
        <f>(D6*Management)*Term</f>
        <v>90000</v>
      </c>
      <c r="E18" s="4"/>
    </row>
    <row r="19" spans="1:8" x14ac:dyDescent="0.2">
      <c r="A19" s="2"/>
      <c r="B19" s="11"/>
      <c r="C19" s="314"/>
      <c r="D19" s="327"/>
      <c r="E19" s="4"/>
      <c r="G19" s="15"/>
    </row>
    <row r="20" spans="1:8" x14ac:dyDescent="0.2">
      <c r="A20" s="2"/>
      <c r="B20" s="37" t="s">
        <v>33</v>
      </c>
      <c r="C20" s="316"/>
      <c r="D20" s="329"/>
      <c r="E20" s="4"/>
      <c r="G20" s="215"/>
      <c r="H20" s="215"/>
    </row>
    <row r="21" spans="1:8" x14ac:dyDescent="0.2">
      <c r="A21" s="2"/>
      <c r="B21" s="11" t="str">
        <f>"["&amp;Ticket*100&amp;"%] less tickets"</f>
        <v>[70%] less tickets</v>
      </c>
      <c r="C21" s="316">
        <f>((Ticket)*C18*-1)</f>
        <v>-62999.999999999993</v>
      </c>
      <c r="D21" s="329"/>
      <c r="E21" s="4"/>
      <c r="G21" s="215"/>
      <c r="H21" s="215"/>
    </row>
    <row r="22" spans="1:8" x14ac:dyDescent="0.2">
      <c r="A22" s="2"/>
      <c r="B22" s="11" t="str">
        <f>"["&amp;Solve*100&amp;"%] savings in time to solve"</f>
        <v>[50%] savings in time to solve</v>
      </c>
      <c r="C22" s="316">
        <f>((C18+(C21))*Solve)*-1</f>
        <v>-13500.000000000004</v>
      </c>
      <c r="D22" s="329"/>
      <c r="E22" s="4"/>
    </row>
    <row r="23" spans="1:8" x14ac:dyDescent="0.2">
      <c r="A23" s="2"/>
      <c r="B23" s="11" t="str">
        <f>"["&amp;LessVisits*100&amp;"%] savings in visits to solve"</f>
        <v>[75%] savings in visits to solve</v>
      </c>
      <c r="C23" s="317">
        <f>IF(C8&gt;0,(C27*OnSite*(1-LessVisits)*TravelCst)*-1,0)</f>
        <v>-1350.0000000000005</v>
      </c>
      <c r="D23" s="330"/>
      <c r="E23" s="4"/>
    </row>
    <row r="24" spans="1:8" x14ac:dyDescent="0.2">
      <c r="A24" s="2"/>
      <c r="B24" s="10" t="str">
        <f>"Total Management ["&amp;Term &amp; "] Year Term"</f>
        <v>Total Management [3] Year Term</v>
      </c>
      <c r="C24" s="318">
        <f>(C18+C21+C22+C23)</f>
        <v>12150.000000000004</v>
      </c>
      <c r="D24" s="318">
        <f>(D18+D21+D22+D23)</f>
        <v>90000</v>
      </c>
      <c r="E24" s="4"/>
      <c r="G24" s="13"/>
    </row>
    <row r="25" spans="1:8" x14ac:dyDescent="0.2">
      <c r="A25" s="2"/>
      <c r="B25" s="214"/>
      <c r="C25" s="319"/>
      <c r="D25" s="331"/>
      <c r="E25" s="4"/>
      <c r="G25" s="216"/>
    </row>
    <row r="26" spans="1:8" x14ac:dyDescent="0.2">
      <c r="A26" s="2"/>
      <c r="B26" s="37" t="s">
        <v>282</v>
      </c>
      <c r="C26" s="316"/>
      <c r="D26" s="329"/>
      <c r="E26" s="4"/>
      <c r="G26" s="215"/>
      <c r="H26" s="215"/>
    </row>
    <row r="27" spans="1:8" x14ac:dyDescent="0.2">
      <c r="A27" s="2"/>
      <c r="B27" s="11" t="str">
        <f>"Total Tickets, ["&amp;(Ticket*100)&amp;"%] Less network related tickets with Mist"</f>
        <v>Total Tickets, [70%] Less network related tickets with Mist</v>
      </c>
      <c r="C27" s="220">
        <f>(C18/(EngCst*AvgTktSlv))*(1-Ticket)</f>
        <v>135.00000000000003</v>
      </c>
      <c r="D27" s="221">
        <f>D18/(EngCst*AvgTktSlv)</f>
        <v>450</v>
      </c>
      <c r="E27" s="4"/>
    </row>
    <row r="28" spans="1:8" x14ac:dyDescent="0.2">
      <c r="A28" s="2"/>
      <c r="B28" s="214" t="str">
        <f>"Based on: ["&amp;AvgTktSlv&amp;"] Hours Per Ticket, at [$"&amp;EngCst&amp;"] Per Hour"</f>
        <v>Based on: [4] Hours Per Ticket, at [$50] Per Hour</v>
      </c>
      <c r="C28" s="220"/>
      <c r="D28" s="221"/>
      <c r="E28" s="4"/>
    </row>
    <row r="29" spans="1:8" x14ac:dyDescent="0.2">
      <c r="A29" s="2"/>
      <c r="B29" s="11" t="str">
        <f>"Ticket Hours, ["&amp;(Solve*100)&amp;"%] Less time to solve with Mist"</f>
        <v>Ticket Hours, [50%] Less time to solve with Mist</v>
      </c>
      <c r="C29" s="220">
        <f>(JNPRTkt*AvgTktSlv)*Solve</f>
        <v>270.00000000000006</v>
      </c>
      <c r="D29" s="221">
        <f>CMPTkt*AvgTktSlv</f>
        <v>1800</v>
      </c>
      <c r="E29" s="4"/>
      <c r="G29" s="216"/>
    </row>
    <row r="30" spans="1:8" x14ac:dyDescent="0.2">
      <c r="A30" s="2"/>
      <c r="B30" s="11" t="s">
        <v>274</v>
      </c>
      <c r="C30" s="218">
        <f>ROUNDUP((C29/Term)/2080,0)</f>
        <v>1</v>
      </c>
      <c r="D30" s="219">
        <f>ROUNDUP((D29/Term)/2080,0)</f>
        <v>1</v>
      </c>
      <c r="E30" s="4"/>
      <c r="G30" s="216"/>
    </row>
    <row r="31" spans="1:8" x14ac:dyDescent="0.2">
      <c r="A31" s="2"/>
      <c r="B31" s="9"/>
      <c r="C31" s="9"/>
      <c r="D31" s="9"/>
      <c r="E31" s="4"/>
    </row>
    <row r="32" spans="1:8" ht="24" x14ac:dyDescent="0.3">
      <c r="A32" s="2"/>
      <c r="B32" s="40" t="str">
        <f>"["&amp;Term&amp;"] YEAR TOTAL COST OF OWNERSHIP"</f>
        <v>[3] YEAR TOTAL COST OF OWNERSHIP</v>
      </c>
      <c r="C32" s="320">
        <f>TotJNPRMgt+C15+C8</f>
        <v>140412.50000000003</v>
      </c>
      <c r="D32" s="320">
        <f>TotCompMgt+D15+D8</f>
        <v>230762.5</v>
      </c>
      <c r="E32" s="4"/>
      <c r="G32" s="222"/>
    </row>
    <row r="33" spans="1:10" x14ac:dyDescent="0.2">
      <c r="A33" s="2"/>
      <c r="B33" s="9"/>
      <c r="C33" s="9"/>
      <c r="D33" s="9"/>
      <c r="E33" s="4"/>
      <c r="G33" s="15"/>
    </row>
    <row r="34" spans="1:10" collapsed="1" x14ac:dyDescent="0.2">
      <c r="A34" s="2"/>
      <c r="B34" s="10" t="s">
        <v>321</v>
      </c>
      <c r="C34" s="321">
        <f>D32-C32</f>
        <v>90349.999999999971</v>
      </c>
      <c r="D34" s="9"/>
      <c r="E34" s="4"/>
    </row>
    <row r="35" spans="1:10" collapsed="1" x14ac:dyDescent="0.2">
      <c r="A35" s="2"/>
      <c r="B35" s="9"/>
      <c r="C35" s="9"/>
      <c r="D35" s="9"/>
      <c r="E35" s="4"/>
      <c r="G35" s="341"/>
    </row>
    <row r="36" spans="1:10" ht="29" x14ac:dyDescent="0.35">
      <c r="A36" s="424" t="s">
        <v>165</v>
      </c>
      <c r="B36" s="425"/>
      <c r="C36" s="425"/>
      <c r="D36" s="425"/>
      <c r="E36" s="426"/>
      <c r="G36" s="222"/>
    </row>
    <row r="37" spans="1:10" x14ac:dyDescent="0.2">
      <c r="A37" s="2"/>
      <c r="B37" s="9"/>
      <c r="C37" s="9"/>
      <c r="D37" s="9"/>
      <c r="E37" s="4"/>
    </row>
    <row r="38" spans="1:10" x14ac:dyDescent="0.2">
      <c r="A38" s="2"/>
      <c r="B38" s="5"/>
      <c r="C38" s="434" t="s">
        <v>158</v>
      </c>
      <c r="D38" s="435"/>
      <c r="E38" s="4"/>
    </row>
    <row r="39" spans="1:10" x14ac:dyDescent="0.2">
      <c r="A39" s="2"/>
      <c r="B39" s="122" t="s">
        <v>159</v>
      </c>
      <c r="C39" s="322"/>
      <c r="D39" s="332"/>
      <c r="E39" s="4"/>
    </row>
    <row r="40" spans="1:10" x14ac:dyDescent="0.2">
      <c r="A40" s="2"/>
      <c r="B40" s="11" t="str">
        <f>"Ticket Impact (employees, per ["&amp;IF(Term=1,Term&amp;"] year)",Term&amp;"] years)")</f>
        <v>Ticket Impact (employees, per [3] years)</v>
      </c>
      <c r="C40" s="322">
        <f>((C27)*AvgUsrImp*DisScpEmp*AvgUsrRte)</f>
        <v>33750.000000000007</v>
      </c>
      <c r="D40" s="333">
        <f>((D27)*AvgUsrImp*DisScpEmp*AvgUsrRte)</f>
        <v>112500</v>
      </c>
      <c r="E40" s="4"/>
      <c r="G40" s="15"/>
      <c r="H40" s="15"/>
      <c r="I40" s="15"/>
      <c r="J40" s="15"/>
    </row>
    <row r="41" spans="1:10" x14ac:dyDescent="0.2">
      <c r="A41" s="2"/>
      <c r="B41" s="11" t="str">
        <f>"Ticket Impact (visitors, per ["&amp;IF(Term=1,Term&amp;"] year)",Term&amp;"] years)")</f>
        <v>Ticket Impact (visitors, per [3] years)</v>
      </c>
      <c r="C41" s="322">
        <f>((C27)*AvgUsrImp*DisScp*QalLstVis)</f>
        <v>2700.0000000000005</v>
      </c>
      <c r="D41" s="333">
        <f>((D27)*AvgUsrImp*DisScp*QalLstVis)</f>
        <v>9000</v>
      </c>
      <c r="E41" s="4"/>
      <c r="G41" s="15"/>
      <c r="H41" s="15"/>
      <c r="I41" s="15"/>
      <c r="J41" s="15"/>
    </row>
    <row r="42" spans="1:10" x14ac:dyDescent="0.2">
      <c r="A42" s="2"/>
      <c r="B42" s="11" t="str">
        <f>"Ticket Impact (business disruption, per ["&amp;IF(Term=1,Term&amp;"] year)",Term&amp;"] years)")</f>
        <v>Ticket Impact (business disruption, per [3] years)</v>
      </c>
      <c r="C42" s="322">
        <f>((C27)*AvgUsrImp*PctTktBiz*BizImpHr)</f>
        <v>27000.000000000007</v>
      </c>
      <c r="D42" s="333">
        <f>((D27)*AvgUsrImp*PctTktBiz*BizImpHr)</f>
        <v>90000</v>
      </c>
      <c r="E42" s="4"/>
      <c r="G42" s="15"/>
      <c r="H42" s="15"/>
      <c r="I42" s="15"/>
      <c r="J42" s="15"/>
    </row>
    <row r="43" spans="1:10" x14ac:dyDescent="0.2">
      <c r="A43" s="2"/>
      <c r="B43" s="37" t="s">
        <v>161</v>
      </c>
      <c r="C43" s="322"/>
      <c r="D43" s="333"/>
      <c r="E43" s="4"/>
      <c r="G43" s="279"/>
    </row>
    <row r="44" spans="1:10" x14ac:dyDescent="0.2">
      <c r="A44" s="2"/>
      <c r="B44" s="11" t="str">
        <f>"Tickets solved faster (employees, per ["&amp;IF(Term=1,Term&amp;"] year)",Term&amp;"] years)")</f>
        <v>Tickets solved faster (employees, per [3] years)</v>
      </c>
      <c r="C44" s="322">
        <f>((C27)*AvgUsrImp*(1-Solve)*DisScpEmp*AvgUsrRte*-1)</f>
        <v>-16875.000000000004</v>
      </c>
      <c r="D44" s="333">
        <v>0</v>
      </c>
      <c r="E44" s="4"/>
      <c r="G44" s="222"/>
    </row>
    <row r="45" spans="1:10" x14ac:dyDescent="0.2">
      <c r="A45" s="2"/>
      <c r="B45" s="11" t="str">
        <f>"Better service tickets solved faster (visitors, per ["&amp;IF(Term=1,Term&amp;"] year)",Term&amp;"] years)")</f>
        <v>Better service tickets solved faster (visitors, per [3] years)</v>
      </c>
      <c r="C45" s="322">
        <f>((C27)*AvgUsrImp*(1-Solve)*DisScp*QalLstVis*-1)/Term</f>
        <v>-450.00000000000006</v>
      </c>
      <c r="D45" s="333">
        <v>0</v>
      </c>
      <c r="E45" s="4"/>
      <c r="G45" s="15"/>
      <c r="H45" s="15"/>
    </row>
    <row r="46" spans="1:10" x14ac:dyDescent="0.2">
      <c r="A46" s="2"/>
      <c r="B46" s="11" t="str">
        <f>"Tickets solved faster (business disruption, per ["&amp;IF(Term=1,Term&amp;"] year)",Term&amp;"] years)")</f>
        <v>Tickets solved faster (business disruption, per [3] years)</v>
      </c>
      <c r="C46" s="322">
        <f>((C27)*AvgUsrImp*(1-Solve)*PctTktBiz*BizImpHr*-1)/Term</f>
        <v>-4500.0000000000009</v>
      </c>
      <c r="D46" s="334">
        <v>0</v>
      </c>
      <c r="E46" s="4"/>
      <c r="G46" s="15"/>
    </row>
    <row r="47" spans="1:10" x14ac:dyDescent="0.2">
      <c r="A47" s="2"/>
      <c r="B47" s="146" t="str">
        <f>"Total Productivity Cost for ["&amp;IF(Term=1,Term&amp;"] year",Term&amp;"] years")</f>
        <v>Total Productivity Cost for [3] years</v>
      </c>
      <c r="C47" s="323">
        <f>SUM(C40:C46)</f>
        <v>41625.000000000015</v>
      </c>
      <c r="D47" s="335">
        <f>SUM(D40:D46)</f>
        <v>211500</v>
      </c>
      <c r="E47" s="4"/>
      <c r="G47" s="13"/>
    </row>
    <row r="48" spans="1:10" x14ac:dyDescent="0.2">
      <c r="A48" s="2"/>
      <c r="B48" s="9"/>
      <c r="C48" s="9"/>
      <c r="D48" s="9"/>
      <c r="E48" s="4"/>
      <c r="G48" s="422"/>
    </row>
    <row r="49" spans="1:7" collapsed="1" x14ac:dyDescent="0.2">
      <c r="A49" s="2"/>
      <c r="B49" s="10" t="s">
        <v>285</v>
      </c>
      <c r="C49" s="321">
        <f>D47-C47</f>
        <v>169875</v>
      </c>
      <c r="D49" s="9"/>
      <c r="E49" s="4"/>
    </row>
    <row r="50" spans="1:7" x14ac:dyDescent="0.2">
      <c r="A50" s="2"/>
      <c r="B50" s="9"/>
      <c r="C50" s="9"/>
      <c r="D50" s="9"/>
      <c r="E50" s="4"/>
    </row>
    <row r="51" spans="1:7" hidden="1" x14ac:dyDescent="0.2">
      <c r="A51" s="2"/>
      <c r="B51" s="9"/>
      <c r="C51" s="9"/>
      <c r="D51" s="9"/>
      <c r="E51" s="4"/>
    </row>
    <row r="52" spans="1:7" hidden="1" x14ac:dyDescent="0.2">
      <c r="A52" s="2"/>
      <c r="B52" s="5"/>
      <c r="C52" s="433" t="s">
        <v>157</v>
      </c>
      <c r="D52" s="433"/>
      <c r="E52" s="4"/>
      <c r="G52" s="222"/>
    </row>
    <row r="53" spans="1:7" hidden="1" x14ac:dyDescent="0.2">
      <c r="A53" s="2"/>
      <c r="B53" s="11" t="s">
        <v>34</v>
      </c>
      <c r="C53" s="402"/>
      <c r="D53" s="336">
        <v>0</v>
      </c>
      <c r="E53" s="4"/>
    </row>
    <row r="54" spans="1:7" hidden="1" x14ac:dyDescent="0.2">
      <c r="A54" s="2"/>
      <c r="B54" s="11" t="s">
        <v>35</v>
      </c>
      <c r="C54" s="403"/>
      <c r="D54" s="337">
        <v>0</v>
      </c>
      <c r="E54" s="4"/>
    </row>
    <row r="55" spans="1:7" hidden="1" x14ac:dyDescent="0.2">
      <c r="A55" s="2"/>
      <c r="B55" s="11" t="s">
        <v>36</v>
      </c>
      <c r="C55" s="404"/>
      <c r="D55" s="338">
        <v>0</v>
      </c>
      <c r="E55" s="4"/>
    </row>
    <row r="56" spans="1:7" hidden="1" x14ac:dyDescent="0.2">
      <c r="A56" s="2"/>
      <c r="B56" s="38" t="str">
        <f>"Total Legacy Network Costs ["&amp;Term &amp; "] Years"</f>
        <v>Total Legacy Network Costs [3] Years</v>
      </c>
      <c r="C56" s="39"/>
      <c r="D56" s="339">
        <f>(SUM(D53:D55))*Term</f>
        <v>0</v>
      </c>
      <c r="E56" s="4"/>
    </row>
    <row r="57" spans="1:7" hidden="1" x14ac:dyDescent="0.2">
      <c r="A57" s="2"/>
      <c r="B57" s="5"/>
      <c r="C57" s="5"/>
      <c r="D57" s="5"/>
      <c r="E57" s="4"/>
    </row>
    <row r="58" spans="1:7" ht="24" x14ac:dyDescent="0.3">
      <c r="A58" s="2"/>
      <c r="B58" s="40" t="str">
        <f>"["&amp; Term&amp;"] YEAR TCO INCLUDING PRODUCTIVITY"</f>
        <v>[3] YEAR TCO INCLUDING PRODUCTIVITY</v>
      </c>
      <c r="C58" s="320">
        <f>C56+TotJNPRMgt+C15+C8+C47</f>
        <v>182037.50000000006</v>
      </c>
      <c r="D58" s="320">
        <f>D56+TotCompMgt+D15+D8+D47</f>
        <v>442262.5</v>
      </c>
      <c r="E58" s="4"/>
      <c r="G58" s="13"/>
    </row>
    <row r="59" spans="1:7" x14ac:dyDescent="0.2">
      <c r="A59" s="2"/>
      <c r="B59" s="41"/>
      <c r="C59" s="9"/>
      <c r="D59" s="9"/>
      <c r="E59" s="4"/>
    </row>
    <row r="60" spans="1:7" ht="24" x14ac:dyDescent="0.3">
      <c r="A60" s="2"/>
      <c r="B60" s="40" t="s">
        <v>320</v>
      </c>
      <c r="C60" s="320">
        <f>D58-C58</f>
        <v>260224.99999999994</v>
      </c>
      <c r="D60" s="340"/>
      <c r="E60" s="4"/>
      <c r="G60" s="222"/>
    </row>
    <row r="61" spans="1:7" x14ac:dyDescent="0.2">
      <c r="A61" s="2"/>
      <c r="B61" s="5"/>
      <c r="C61" s="5"/>
      <c r="D61" s="5"/>
      <c r="E61" s="4"/>
    </row>
    <row r="62" spans="1:7" ht="24" x14ac:dyDescent="0.3">
      <c r="A62" s="2"/>
      <c r="B62" s="40" t="s">
        <v>38</v>
      </c>
      <c r="C62" s="42">
        <f>IF(C8=0,0,C60/C8)</f>
        <v>2.2479213907785329</v>
      </c>
      <c r="D62" s="41"/>
      <c r="E62" s="4"/>
    </row>
    <row r="63" spans="1:7" ht="17" thickBot="1" x14ac:dyDescent="0.25">
      <c r="A63" s="43"/>
      <c r="B63" s="44"/>
      <c r="C63" s="44"/>
      <c r="D63" s="44"/>
      <c r="E63" s="45"/>
    </row>
    <row r="65" spans="3:4" x14ac:dyDescent="0.2">
      <c r="C65" s="13"/>
      <c r="D65" s="13"/>
    </row>
    <row r="66" spans="3:4" x14ac:dyDescent="0.2">
      <c r="C66" s="15"/>
      <c r="D66" s="15"/>
    </row>
    <row r="67" spans="3:4" x14ac:dyDescent="0.2">
      <c r="C67" s="15"/>
      <c r="D67" s="15"/>
    </row>
  </sheetData>
  <sheetProtection formatColumns="0" selectLockedCells="1"/>
  <mergeCells count="9">
    <mergeCell ref="G3:H3"/>
    <mergeCell ref="A36:E36"/>
    <mergeCell ref="A1:E2"/>
    <mergeCell ref="C52:D52"/>
    <mergeCell ref="C38:D38"/>
    <mergeCell ref="C4:D4"/>
    <mergeCell ref="C10:D10"/>
    <mergeCell ref="C17:D17"/>
    <mergeCell ref="G4:H4"/>
  </mergeCells>
  <pageMargins left="0.7" right="0.7" top="0.75" bottom="0.75" header="0.3" footer="0.3"/>
  <pageSetup orientation="portrait" r:id="rId1"/>
  <headerFooter>
    <oddFooter>&amp;C&amp;"Calibri"&amp;11&amp;K000000_x000D_&amp;1#&amp;"Calibri"&amp;7&amp;K000000Juniper Business Use Only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8CBD-B0BC-FC42-A148-D6AA5A1AF440}">
  <sheetPr codeName="Sheet3"/>
  <dimension ref="A1"/>
  <sheetViews>
    <sheetView topLeftCell="B1" zoomScale="169" zoomScaleNormal="169" workbookViewId="0">
      <selection activeCell="Q52" sqref="Q52"/>
    </sheetView>
  </sheetViews>
  <sheetFormatPr baseColWidth="10" defaultColWidth="11" defaultRowHeight="16" x14ac:dyDescent="0.2"/>
  <sheetData/>
  <pageMargins left="0.7" right="0.7" top="0.75" bottom="0.75" header="0.3" footer="0.3"/>
  <pageSetup orientation="portrait" r:id="rId1"/>
  <headerFooter>
    <oddFooter>&amp;C&amp;1#&amp;"Calibri"&amp;7&amp;K000000Juniper Business Use Only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E51-1E98-E544-8BC5-1A60146BEA50}">
  <sheetPr codeName="Sheet2"/>
  <dimension ref="A1:K26"/>
  <sheetViews>
    <sheetView topLeftCell="A4" zoomScale="204" zoomScaleNormal="204" workbookViewId="0">
      <selection activeCell="G25" sqref="G25"/>
    </sheetView>
  </sheetViews>
  <sheetFormatPr baseColWidth="10" defaultColWidth="11" defaultRowHeight="16" x14ac:dyDescent="0.2"/>
  <cols>
    <col min="1" max="1" width="2.83203125" customWidth="1"/>
    <col min="2" max="2" width="23.33203125" bestFit="1" customWidth="1"/>
    <col min="3" max="3" width="14.5" bestFit="1" customWidth="1"/>
    <col min="4" max="5" width="12.83203125" customWidth="1"/>
    <col min="6" max="6" width="1.1640625" customWidth="1"/>
    <col min="7" max="8" width="12.83203125" customWidth="1"/>
    <col min="9" max="9" width="14" bestFit="1" customWidth="1"/>
    <col min="10" max="10" width="2.83203125" customWidth="1"/>
  </cols>
  <sheetData>
    <row r="1" spans="1:11" x14ac:dyDescent="0.2">
      <c r="A1" s="439" t="s">
        <v>229</v>
      </c>
      <c r="B1" s="440"/>
      <c r="C1" s="440"/>
      <c r="D1" s="440"/>
      <c r="E1" s="440"/>
      <c r="F1" s="440"/>
      <c r="G1" s="440"/>
      <c r="H1" s="440"/>
      <c r="I1" s="440"/>
      <c r="J1" s="441"/>
    </row>
    <row r="2" spans="1:11" x14ac:dyDescent="0.2">
      <c r="A2" s="442"/>
      <c r="B2" s="443"/>
      <c r="C2" s="443"/>
      <c r="D2" s="443"/>
      <c r="E2" s="443"/>
      <c r="F2" s="443"/>
      <c r="G2" s="443"/>
      <c r="H2" s="443"/>
      <c r="I2" s="443"/>
      <c r="J2" s="444"/>
    </row>
    <row r="3" spans="1:11" ht="37" x14ac:dyDescent="0.2">
      <c r="A3" s="127"/>
      <c r="B3" s="128"/>
      <c r="C3" s="128"/>
      <c r="D3" s="128"/>
      <c r="E3" s="128"/>
      <c r="F3" s="128"/>
      <c r="G3" s="128"/>
      <c r="H3" s="128"/>
      <c r="I3" s="128"/>
      <c r="J3" s="121"/>
    </row>
    <row r="4" spans="1:11" x14ac:dyDescent="0.2">
      <c r="A4" s="2"/>
      <c r="B4" s="9"/>
      <c r="C4" s="446" t="s">
        <v>5</v>
      </c>
      <c r="D4" s="447"/>
      <c r="E4" s="447"/>
      <c r="F4" s="196"/>
      <c r="G4" s="448" t="str">
        <f>'Forrester TCO'!D5</f>
        <v>Compettitor</v>
      </c>
      <c r="H4" s="446"/>
      <c r="I4" s="5"/>
      <c r="J4" s="4"/>
    </row>
    <row r="5" spans="1:11" ht="17" thickBot="1" x14ac:dyDescent="0.25">
      <c r="A5" s="2"/>
      <c r="B5" s="9"/>
      <c r="C5" s="130" t="s">
        <v>228</v>
      </c>
      <c r="D5" s="130" t="s">
        <v>226</v>
      </c>
      <c r="E5" s="130" t="s">
        <v>166</v>
      </c>
      <c r="F5" s="194"/>
      <c r="G5" s="130" t="s">
        <v>228</v>
      </c>
      <c r="H5" s="130" t="s">
        <v>226</v>
      </c>
      <c r="I5" s="194"/>
      <c r="J5" s="4"/>
    </row>
    <row r="6" spans="1:11" ht="17" thickBot="1" x14ac:dyDescent="0.25">
      <c r="A6" s="2"/>
      <c r="B6" s="11" t="s">
        <v>92</v>
      </c>
      <c r="C6" s="125">
        <v>0.20111696422100067</v>
      </c>
      <c r="D6" s="126">
        <v>80</v>
      </c>
      <c r="E6" s="192">
        <v>1920</v>
      </c>
      <c r="F6" s="195"/>
      <c r="G6" s="125">
        <v>0.2</v>
      </c>
      <c r="H6" s="126">
        <v>80</v>
      </c>
      <c r="I6" s="2"/>
      <c r="J6" s="4"/>
    </row>
    <row r="7" spans="1:11" ht="17" thickBot="1" x14ac:dyDescent="0.25">
      <c r="A7" s="2"/>
      <c r="B7" s="11" t="s">
        <v>89</v>
      </c>
      <c r="C7" s="190">
        <v>0.7339930534362793</v>
      </c>
      <c r="D7" s="191">
        <v>500</v>
      </c>
      <c r="E7" s="193"/>
      <c r="F7" s="9"/>
      <c r="G7" s="190">
        <v>0.73</v>
      </c>
      <c r="H7" s="191">
        <v>500</v>
      </c>
      <c r="I7" s="2"/>
      <c r="J7" s="4"/>
    </row>
    <row r="8" spans="1:11" ht="17" thickBot="1" x14ac:dyDescent="0.25">
      <c r="A8" s="2"/>
      <c r="B8" s="11" t="s">
        <v>227</v>
      </c>
      <c r="C8" s="125">
        <v>6.4890027046203613E-2</v>
      </c>
      <c r="D8" s="126">
        <v>12</v>
      </c>
      <c r="E8" s="193"/>
      <c r="F8" s="9"/>
      <c r="G8" s="125">
        <v>0.06</v>
      </c>
      <c r="H8" s="126">
        <v>12</v>
      </c>
      <c r="I8" s="197"/>
      <c r="J8" s="4"/>
    </row>
    <row r="9" spans="1:11" ht="17" thickBot="1" x14ac:dyDescent="0.25">
      <c r="A9" s="2"/>
      <c r="B9" s="11" t="s">
        <v>95</v>
      </c>
      <c r="C9" s="212">
        <v>0</v>
      </c>
      <c r="D9" s="213"/>
      <c r="E9" s="193"/>
      <c r="F9" s="9"/>
      <c r="G9" s="445"/>
      <c r="H9" s="445"/>
      <c r="I9" s="9"/>
      <c r="J9" s="4"/>
    </row>
    <row r="10" spans="1:11" x14ac:dyDescent="0.2">
      <c r="A10" s="2"/>
      <c r="B10" s="9"/>
      <c r="C10" s="9"/>
      <c r="D10" s="129"/>
      <c r="E10" s="129"/>
      <c r="F10" s="129"/>
      <c r="G10" s="9"/>
      <c r="H10" s="9"/>
      <c r="I10" s="9"/>
      <c r="J10" s="4"/>
    </row>
    <row r="11" spans="1:11" x14ac:dyDescent="0.2">
      <c r="A11" s="2"/>
      <c r="B11" s="9"/>
      <c r="C11" s="436" t="s">
        <v>5</v>
      </c>
      <c r="D11" s="436"/>
      <c r="E11" s="436"/>
      <c r="F11" s="194"/>
      <c r="G11" s="436" t="str">
        <f>'Forrester TCO'!D5</f>
        <v>Compettitor</v>
      </c>
      <c r="H11" s="436"/>
      <c r="I11" s="436"/>
      <c r="J11" s="4"/>
    </row>
    <row r="12" spans="1:11" ht="16.5" customHeight="1" x14ac:dyDescent="0.2">
      <c r="A12" s="2"/>
      <c r="B12" s="9"/>
      <c r="C12" s="130" t="s">
        <v>94</v>
      </c>
      <c r="D12" s="130" t="s">
        <v>93</v>
      </c>
      <c r="E12" s="130" t="str">
        <f>"Manage "&amp;Term&amp;"Yr"</f>
        <v>Manage 3Yr</v>
      </c>
      <c r="F12" s="194"/>
      <c r="G12" s="130" t="s">
        <v>94</v>
      </c>
      <c r="H12" s="130" t="s">
        <v>93</v>
      </c>
      <c r="I12" s="130" t="str">
        <f>"Manage "&amp;Term&amp;"Yr"</f>
        <v>Manage 3Yr</v>
      </c>
      <c r="J12" s="4"/>
    </row>
    <row r="13" spans="1:11" x14ac:dyDescent="0.2">
      <c r="A13" s="342"/>
      <c r="B13" s="10" t="s">
        <v>92</v>
      </c>
      <c r="C13" s="343">
        <f>C21*SWPcnt</f>
        <v>23281.802570633594</v>
      </c>
      <c r="D13" s="347">
        <f>D21*SWPcnt</f>
        <v>2513.9620527625084</v>
      </c>
      <c r="E13" s="347">
        <f>E21*SWPcnt</f>
        <v>2443.5711152851591</v>
      </c>
      <c r="F13" s="352"/>
      <c r="G13" s="343">
        <f>G21*G6</f>
        <v>23152.500000000004</v>
      </c>
      <c r="H13" s="347">
        <f>H21*G6</f>
        <v>5000</v>
      </c>
      <c r="I13" s="347">
        <f>I21*SWPcnt</f>
        <v>18100.52677989006</v>
      </c>
      <c r="J13" s="4"/>
      <c r="K13" s="222"/>
    </row>
    <row r="14" spans="1:11" x14ac:dyDescent="0.2">
      <c r="A14" s="2"/>
      <c r="B14" s="11" t="s">
        <v>91</v>
      </c>
      <c r="C14" s="344">
        <f>IF('Cost Breakdown'!$D$6&gt;0,('Forrester TCO'!$C$8*SWPcnt)/'Cost Breakdown'!$D$6,0)</f>
        <v>291.02253213291993</v>
      </c>
      <c r="D14" s="348">
        <f>IF(D13&gt;0,D13/D6,0)</f>
        <v>31.424525659531355</v>
      </c>
      <c r="E14" s="348">
        <f>IF(E13&gt;0,E13/D6,0)</f>
        <v>30.544638941064488</v>
      </c>
      <c r="F14" s="353"/>
      <c r="G14" s="344">
        <f>IF('Cost Breakdown'!$H$6=0,0,('Forrester TCO'!$C$8*SWPcnt)/'Cost Breakdown'!$H$6)</f>
        <v>291.02253213291993</v>
      </c>
      <c r="H14" s="348">
        <f>IF(H6=0,0,H13/H6)</f>
        <v>62.5</v>
      </c>
      <c r="I14" s="348">
        <f>IF(H6=0,0,I13/H6)</f>
        <v>226.25658474862576</v>
      </c>
      <c r="J14" s="4"/>
    </row>
    <row r="15" spans="1:11" x14ac:dyDescent="0.2">
      <c r="A15" s="2"/>
      <c r="B15" s="11" t="s">
        <v>90</v>
      </c>
      <c r="C15" s="224">
        <f>SWAmt/AvgSWPrt</f>
        <v>12.125938838871663</v>
      </c>
      <c r="D15" s="348">
        <f>D14/AvgSWPrt</f>
        <v>1.3093552358138065</v>
      </c>
      <c r="E15" s="348">
        <f>E14/AvgSWPrt</f>
        <v>1.2726932892110203</v>
      </c>
      <c r="F15" s="353"/>
      <c r="G15" s="224">
        <f>G14/AvgSWPrt</f>
        <v>12.125938838871663</v>
      </c>
      <c r="H15" s="348">
        <f>H14/AvgSWPrt</f>
        <v>2.6041666666666665</v>
      </c>
      <c r="I15" s="348">
        <f>I14/AvgSWPrt</f>
        <v>9.4273576978594065</v>
      </c>
      <c r="J15" s="4"/>
    </row>
    <row r="16" spans="1:11" x14ac:dyDescent="0.2">
      <c r="A16" s="2"/>
      <c r="B16" s="10" t="s">
        <v>89</v>
      </c>
      <c r="C16" s="344">
        <f>C21*APPcnt</f>
        <v>84968.870848417297</v>
      </c>
      <c r="D16" s="348">
        <f>D21*APPcnt</f>
        <v>9174.9131679534912</v>
      </c>
      <c r="E16" s="348">
        <f>E21*APPcnt</f>
        <v>8918.0155992507953</v>
      </c>
      <c r="F16" s="352"/>
      <c r="G16" s="344">
        <f>G21*G7</f>
        <v>84506.625000000015</v>
      </c>
      <c r="H16" s="348">
        <f>H21*APPcnt</f>
        <v>18349.826335906982</v>
      </c>
      <c r="I16" s="348">
        <f>I21*APPcnt</f>
        <v>66059.374809265137</v>
      </c>
      <c r="J16" s="4"/>
      <c r="K16" s="15"/>
    </row>
    <row r="17" spans="1:10" x14ac:dyDescent="0.2">
      <c r="A17" s="2"/>
      <c r="B17" s="11" t="s">
        <v>88</v>
      </c>
      <c r="C17" s="344">
        <f>IF('Cost Breakdown'!D7&gt;0,('Forrester TCO'!C8*APPcnt)/'Cost Breakdown'!D7,0)</f>
        <v>169.93774169683459</v>
      </c>
      <c r="D17" s="348">
        <f>IF(D16&gt;0,D16/D7,0)</f>
        <v>18.349826335906982</v>
      </c>
      <c r="E17" s="348">
        <f>IF(E16&gt;0,E16/D7,0)</f>
        <v>17.83603119850159</v>
      </c>
      <c r="F17" s="353"/>
      <c r="G17" s="344">
        <f>IF(H7=0,0,('Forrester TCO'!D8*G7)/'Cost Breakdown'!H7)</f>
        <v>169.01325000000003</v>
      </c>
      <c r="H17" s="348">
        <f>IF(H7=0,0,H16/H7)</f>
        <v>36.699652671813965</v>
      </c>
      <c r="I17" s="348">
        <f>IF(H7=0,0,I16/H7)</f>
        <v>132.11874961853027</v>
      </c>
      <c r="J17" s="4"/>
    </row>
    <row r="18" spans="1:10" x14ac:dyDescent="0.2">
      <c r="A18" s="2"/>
      <c r="B18" s="10" t="s">
        <v>225</v>
      </c>
      <c r="C18" s="344">
        <f>C21*GWPcnt</f>
        <v>7511.8317559361467</v>
      </c>
      <c r="D18" s="348">
        <f>D21*GWPcnt</f>
        <v>811.12533807754517</v>
      </c>
      <c r="E18" s="348">
        <f>E21*GWPcnt</f>
        <v>788.41382861137413</v>
      </c>
      <c r="F18" s="352"/>
      <c r="G18" s="344">
        <f>G21*G8</f>
        <v>6945.7500000000009</v>
      </c>
      <c r="H18" s="348">
        <f>H21*G8</f>
        <v>1500</v>
      </c>
      <c r="I18" s="348">
        <f>I21*G8</f>
        <v>5400</v>
      </c>
      <c r="J18" s="4"/>
    </row>
    <row r="19" spans="1:10" x14ac:dyDescent="0.2">
      <c r="A19" s="2"/>
      <c r="B19" s="11" t="s">
        <v>273</v>
      </c>
      <c r="C19" s="344">
        <f>IF('Cost Breakdown'!D8&gt;0,('Forrester TCO'!C8*GWPcnt)/'Cost Breakdown'!D8,0)</f>
        <v>625.9859796613456</v>
      </c>
      <c r="D19" s="348">
        <f>IF(D18&gt;0,D18/D8,0)</f>
        <v>67.593778173128769</v>
      </c>
      <c r="E19" s="348">
        <f>IF(E18&gt;0,E18/D8,0)</f>
        <v>65.701152384281173</v>
      </c>
      <c r="F19" s="353"/>
      <c r="G19" s="344">
        <f>IF('Cost Breakdown'!H8&gt;0,('Forrester TCO'!D8*G8)/'Cost Breakdown'!H8,0)</f>
        <v>578.81250000000011</v>
      </c>
      <c r="H19" s="348">
        <f>IF(H8=0,0,H18/H8)</f>
        <v>125</v>
      </c>
      <c r="I19" s="348">
        <f>IF(H8=0,0,I18/H8)</f>
        <v>450</v>
      </c>
      <c r="J19" s="4"/>
    </row>
    <row r="20" spans="1:10" x14ac:dyDescent="0.2">
      <c r="A20" s="2"/>
      <c r="B20" s="10" t="s">
        <v>95</v>
      </c>
      <c r="C20" s="345">
        <f>C21*OthPcnt</f>
        <v>0</v>
      </c>
      <c r="D20" s="349">
        <f>D21*OthPcnt</f>
        <v>0</v>
      </c>
      <c r="E20" s="350">
        <f>E21*OthPcnt</f>
        <v>0</v>
      </c>
      <c r="F20" s="352"/>
      <c r="G20" s="356"/>
      <c r="H20" s="357"/>
      <c r="I20" s="358"/>
      <c r="J20" s="4"/>
    </row>
    <row r="21" spans="1:10" x14ac:dyDescent="0.2">
      <c r="A21" s="2"/>
      <c r="B21" s="131" t="s">
        <v>12</v>
      </c>
      <c r="C21" s="344">
        <f>'Forrester TCO'!C8</f>
        <v>115762.50000000001</v>
      </c>
      <c r="D21" s="348">
        <f>'Forrester TCO'!C15</f>
        <v>12500</v>
      </c>
      <c r="E21" s="348">
        <f>TotJNPRMgt</f>
        <v>12150.000000000004</v>
      </c>
      <c r="F21" s="354"/>
      <c r="G21" s="344">
        <f>'Forrester TCO'!D8</f>
        <v>115762.50000000001</v>
      </c>
      <c r="H21" s="348">
        <f>'Forrester TCO'!D15</f>
        <v>25000</v>
      </c>
      <c r="I21" s="348">
        <f>TotCompMgt</f>
        <v>90000</v>
      </c>
      <c r="J21" s="4"/>
    </row>
    <row r="22" spans="1:10" x14ac:dyDescent="0.2">
      <c r="A22" s="2"/>
      <c r="B22" s="11" t="s">
        <v>87</v>
      </c>
      <c r="C22" s="9"/>
      <c r="D22" s="129"/>
      <c r="E22" s="351">
        <f>E14/(Term*12)</f>
        <v>0.84846219280734692</v>
      </c>
      <c r="F22" s="355"/>
      <c r="G22" s="9"/>
      <c r="H22" s="9"/>
      <c r="I22" s="351">
        <f>I14/(Term*12)</f>
        <v>6.284905131906271</v>
      </c>
      <c r="J22" s="4"/>
    </row>
    <row r="23" spans="1:10" x14ac:dyDescent="0.2">
      <c r="A23" s="2"/>
      <c r="B23" s="11" t="s">
        <v>86</v>
      </c>
      <c r="C23" s="9"/>
      <c r="D23" s="129"/>
      <c r="E23" s="351">
        <f>E15/(Term*12)</f>
        <v>3.5352591366972788E-2</v>
      </c>
      <c r="F23" s="355"/>
      <c r="G23" s="9"/>
      <c r="H23" s="9"/>
      <c r="I23" s="351">
        <f>I15/(Term*12)</f>
        <v>0.26187104716276127</v>
      </c>
      <c r="J23" s="4"/>
    </row>
    <row r="24" spans="1:10" x14ac:dyDescent="0.2">
      <c r="A24" s="2"/>
      <c r="B24" s="11" t="s">
        <v>85</v>
      </c>
      <c r="C24" s="346"/>
      <c r="D24" s="129"/>
      <c r="E24" s="351">
        <f>E17/(Term*12)</f>
        <v>0.49544531106948864</v>
      </c>
      <c r="F24" s="355"/>
      <c r="G24" s="9"/>
      <c r="H24" s="9"/>
      <c r="I24" s="351">
        <f>I17/(Term*12)</f>
        <v>3.6699652671813965</v>
      </c>
      <c r="J24" s="4"/>
    </row>
    <row r="25" spans="1:10" x14ac:dyDescent="0.2">
      <c r="A25" s="2"/>
      <c r="B25" s="11" t="s">
        <v>272</v>
      </c>
      <c r="C25" s="346"/>
      <c r="D25" s="129"/>
      <c r="E25" s="351">
        <f>E19/(Term*12)</f>
        <v>1.8250320106744771</v>
      </c>
      <c r="F25" s="355"/>
      <c r="G25" s="9"/>
      <c r="H25" s="9"/>
      <c r="I25" s="351">
        <f>I19/(Term*12)</f>
        <v>12.5</v>
      </c>
      <c r="J25" s="4"/>
    </row>
    <row r="26" spans="1:10" ht="17" thickBot="1" x14ac:dyDescent="0.25">
      <c r="A26" s="43"/>
      <c r="B26" s="132"/>
      <c r="C26" s="132"/>
      <c r="D26" s="133"/>
      <c r="E26" s="133"/>
      <c r="F26" s="133"/>
      <c r="G26" s="132"/>
      <c r="H26" s="132"/>
      <c r="I26" s="132"/>
      <c r="J26" s="45"/>
    </row>
  </sheetData>
  <sheetProtection formatColumns="0" selectLockedCells="1"/>
  <mergeCells count="6">
    <mergeCell ref="A1:J2"/>
    <mergeCell ref="C11:E11"/>
    <mergeCell ref="G11:I11"/>
    <mergeCell ref="G9:H9"/>
    <mergeCell ref="C4:E4"/>
    <mergeCell ref="G4:H4"/>
  </mergeCell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47CBA-93DD-F54B-9CAF-B879100E3B7B}">
  <sheetPr codeName="Sheet8"/>
  <dimension ref="A1:K31"/>
  <sheetViews>
    <sheetView zoomScale="178" zoomScaleNormal="178" workbookViewId="0">
      <selection activeCell="D2" sqref="D2"/>
    </sheetView>
  </sheetViews>
  <sheetFormatPr baseColWidth="10" defaultColWidth="11" defaultRowHeight="16" x14ac:dyDescent="0.2"/>
  <cols>
    <col min="1" max="1" width="15.83203125" bestFit="1" customWidth="1"/>
    <col min="2" max="2" width="14.5" style="14" bestFit="1" customWidth="1"/>
    <col min="3" max="3" width="14.5" bestFit="1" customWidth="1"/>
    <col min="4" max="4" width="14.33203125" style="14" bestFit="1" customWidth="1"/>
    <col min="5" max="5" width="12.1640625" bestFit="1" customWidth="1"/>
    <col min="6" max="6" width="13.5" style="14" customWidth="1"/>
    <col min="8" max="8" width="10.83203125" style="14"/>
    <col min="9" max="9" width="14" bestFit="1" customWidth="1"/>
    <col min="10" max="10" width="11.5" bestFit="1" customWidth="1"/>
    <col min="11" max="11" width="12.5" bestFit="1" customWidth="1"/>
    <col min="12" max="13" width="11.5" bestFit="1" customWidth="1"/>
  </cols>
  <sheetData>
    <row r="1" spans="1:8" x14ac:dyDescent="0.2">
      <c r="A1" s="62"/>
      <c r="B1" s="63"/>
      <c r="C1" s="450" t="s">
        <v>163</v>
      </c>
      <c r="D1" s="450"/>
      <c r="E1" s="450"/>
      <c r="F1" s="64"/>
      <c r="H1"/>
    </row>
    <row r="2" spans="1:8" x14ac:dyDescent="0.2">
      <c r="A2" s="2"/>
      <c r="B2" s="65"/>
      <c r="C2" s="113">
        <v>0.1</v>
      </c>
      <c r="D2" s="113">
        <v>0.33</v>
      </c>
      <c r="E2" s="113">
        <v>0.33</v>
      </c>
      <c r="F2" s="123" t="s">
        <v>128</v>
      </c>
      <c r="G2" s="12"/>
      <c r="H2"/>
    </row>
    <row r="3" spans="1:8" ht="17" thickBot="1" x14ac:dyDescent="0.25">
      <c r="A3" s="136" t="s">
        <v>103</v>
      </c>
      <c r="B3" s="66" t="s">
        <v>98</v>
      </c>
      <c r="C3" s="66" t="s">
        <v>106</v>
      </c>
      <c r="D3" s="135" t="s">
        <v>6</v>
      </c>
      <c r="E3" s="135" t="s">
        <v>50</v>
      </c>
      <c r="F3" s="123" t="s">
        <v>108</v>
      </c>
      <c r="H3"/>
    </row>
    <row r="4" spans="1:8" x14ac:dyDescent="0.2">
      <c r="A4" s="71" t="s">
        <v>92</v>
      </c>
      <c r="B4" s="67">
        <f>'Cost Breakdown'!D6</f>
        <v>80</v>
      </c>
      <c r="C4" s="363">
        <f>IF(B4=0,0,'Cost Breakdown'!C13/B4)</f>
        <v>291.02253213291993</v>
      </c>
      <c r="D4" s="369">
        <f>'Cost Breakdown'!D14</f>
        <v>31.424525659531355</v>
      </c>
      <c r="E4" s="369">
        <f>'Cost Breakdown'!E14</f>
        <v>30.544638941064488</v>
      </c>
      <c r="F4" s="375">
        <f>(E4+D4+C4)*B4</f>
        <v>28239.33573868126</v>
      </c>
      <c r="H4"/>
    </row>
    <row r="5" spans="1:8" x14ac:dyDescent="0.2">
      <c r="A5" s="71" t="s">
        <v>101</v>
      </c>
      <c r="B5" s="68">
        <f>B4</f>
        <v>80</v>
      </c>
      <c r="C5" s="364">
        <f>C4*(1+JHDWMrg)</f>
        <v>320.12478534621198</v>
      </c>
      <c r="D5" s="370">
        <f>D4*(1+JIMPMrg)</f>
        <v>41.794619127176702</v>
      </c>
      <c r="E5" s="370">
        <f>E4*(1+JMGTMrg)</f>
        <v>40.62436979161577</v>
      </c>
      <c r="F5" s="376">
        <f>(E5+D5+C5)*B5</f>
        <v>32203.501941200357</v>
      </c>
      <c r="H5"/>
    </row>
    <row r="6" spans="1:8" x14ac:dyDescent="0.2">
      <c r="A6" s="71" t="s">
        <v>104</v>
      </c>
      <c r="B6" s="68"/>
      <c r="C6" s="364">
        <f>(C5*$B$5)/(Term*12)</f>
        <v>711.38841188047104</v>
      </c>
      <c r="D6" s="370">
        <f>(D5*$B$5)/(Term*12)</f>
        <v>92.876931393726011</v>
      </c>
      <c r="E6" s="370">
        <f>(E5*$B$5)/(Term*12)</f>
        <v>90.276377314701719</v>
      </c>
      <c r="F6" s="376">
        <f>E6+D6+C6</f>
        <v>894.54172058889878</v>
      </c>
      <c r="H6" s="12"/>
    </row>
    <row r="7" spans="1:8" x14ac:dyDescent="0.2">
      <c r="A7" s="137" t="s">
        <v>107</v>
      </c>
      <c r="B7" s="68"/>
      <c r="C7" s="364">
        <f>IF(B5=0,0,C6/B5)</f>
        <v>8.8923551485058887</v>
      </c>
      <c r="D7" s="370">
        <f>IF(B5=0,0,D6/B5)</f>
        <v>1.1609616424215752</v>
      </c>
      <c r="E7" s="370">
        <f>IF(B5=0,0,E6/B5)</f>
        <v>1.1284547164337715</v>
      </c>
      <c r="F7" s="376"/>
      <c r="H7" s="222"/>
    </row>
    <row r="8" spans="1:8" x14ac:dyDescent="0.2">
      <c r="A8" s="71"/>
      <c r="B8" s="68"/>
      <c r="C8" s="364"/>
      <c r="D8" s="370"/>
      <c r="E8" s="370"/>
      <c r="F8" s="376"/>
      <c r="H8"/>
    </row>
    <row r="9" spans="1:8" x14ac:dyDescent="0.2">
      <c r="A9" s="71" t="s">
        <v>102</v>
      </c>
      <c r="B9" s="68">
        <f>'Cost Breakdown'!D7</f>
        <v>500</v>
      </c>
      <c r="C9" s="364">
        <f>IF(B9=0,0,'Cost Breakdown'!C16/B9)</f>
        <v>169.93774169683459</v>
      </c>
      <c r="D9" s="370">
        <f>'Cost Breakdown'!D17</f>
        <v>18.349826335906982</v>
      </c>
      <c r="E9" s="370">
        <f>'Cost Breakdown'!E17</f>
        <v>17.83603119850159</v>
      </c>
      <c r="F9" s="376">
        <f>(E9+D9+C9)*B9</f>
        <v>103061.79961562158</v>
      </c>
      <c r="H9"/>
    </row>
    <row r="10" spans="1:8" x14ac:dyDescent="0.2">
      <c r="A10" s="71" t="s">
        <v>101</v>
      </c>
      <c r="B10" s="68">
        <f>B9</f>
        <v>500</v>
      </c>
      <c r="C10" s="364">
        <f>C9*(1+JHDWMrg)</f>
        <v>186.93151586651805</v>
      </c>
      <c r="D10" s="370">
        <f>D9*(1+JIMPMrg)</f>
        <v>24.405269026756287</v>
      </c>
      <c r="E10" s="370">
        <f>E9*(1+JMGTMrg)</f>
        <v>23.721921494007116</v>
      </c>
      <c r="F10" s="376">
        <f>(E10+D10+C10)*B10</f>
        <v>117529.35319364072</v>
      </c>
      <c r="H10"/>
    </row>
    <row r="11" spans="1:8" x14ac:dyDescent="0.2">
      <c r="A11" s="71" t="s">
        <v>104</v>
      </c>
      <c r="B11" s="68"/>
      <c r="C11" s="364">
        <f>(C10*$B10)/(Term*12)</f>
        <v>2596.2710537016396</v>
      </c>
      <c r="D11" s="370">
        <f>(D10*$B$10)/(Term*12)</f>
        <v>338.96206981605951</v>
      </c>
      <c r="E11" s="370">
        <f>(E10*$B$10)/(Term*12)</f>
        <v>329.47113186120998</v>
      </c>
      <c r="F11" s="376">
        <f>E11+D11+C11</f>
        <v>3264.7042553789092</v>
      </c>
      <c r="H11"/>
    </row>
    <row r="12" spans="1:8" x14ac:dyDescent="0.2">
      <c r="A12" s="137" t="s">
        <v>107</v>
      </c>
      <c r="B12" s="68"/>
      <c r="C12" s="364">
        <f>IF(B10=0,0,C11/B10)</f>
        <v>5.1925421074032796</v>
      </c>
      <c r="D12" s="370">
        <f>IF(B10=0,0,D11/B10)</f>
        <v>0.67792413963211906</v>
      </c>
      <c r="E12" s="370">
        <f>IF(B10=0,0,E11/B10)</f>
        <v>0.65894226372241993</v>
      </c>
      <c r="F12" s="376"/>
      <c r="H12" s="222"/>
    </row>
    <row r="13" spans="1:8" x14ac:dyDescent="0.2">
      <c r="A13" s="71"/>
      <c r="B13" s="68"/>
      <c r="C13" s="364"/>
      <c r="D13" s="370"/>
      <c r="E13" s="370"/>
      <c r="F13" s="376"/>
      <c r="H13"/>
    </row>
    <row r="14" spans="1:8" x14ac:dyDescent="0.2">
      <c r="A14" s="71" t="s">
        <v>303</v>
      </c>
      <c r="B14" s="68">
        <f>GWQty</f>
        <v>12</v>
      </c>
      <c r="C14" s="365">
        <f>IF(B14=0,0,'Cost Breakdown'!C18/B14)</f>
        <v>625.9859796613456</v>
      </c>
      <c r="D14" s="370">
        <f>'Cost Breakdown'!D19</f>
        <v>67.593778173128769</v>
      </c>
      <c r="E14" s="370">
        <f>'Cost Breakdown'!E19</f>
        <v>65.701152384281173</v>
      </c>
      <c r="F14" s="376">
        <f>(E14+D14+C14)*B14</f>
        <v>9111.3709226250648</v>
      </c>
      <c r="H14"/>
    </row>
    <row r="15" spans="1:8" x14ac:dyDescent="0.2">
      <c r="A15" s="71" t="s">
        <v>101</v>
      </c>
      <c r="B15" s="68">
        <f>B14</f>
        <v>12</v>
      </c>
      <c r="C15" s="364">
        <f>C14*(1+JHDWMrg)</f>
        <v>688.58457762748026</v>
      </c>
      <c r="D15" s="370">
        <f>D14*(1+JIMPMrg)</f>
        <v>89.899724970261261</v>
      </c>
      <c r="E15" s="370">
        <f>E14*(1+JMGTMrg)</f>
        <v>87.382532671093969</v>
      </c>
      <c r="F15" s="376">
        <f>(E15+D15+C15)*B15</f>
        <v>10390.402023226026</v>
      </c>
      <c r="H15"/>
    </row>
    <row r="16" spans="1:8" x14ac:dyDescent="0.2">
      <c r="A16" s="71" t="s">
        <v>104</v>
      </c>
      <c r="B16" s="68"/>
      <c r="C16" s="364">
        <f>(C15*$B14)/(Term*12)</f>
        <v>229.52819254249346</v>
      </c>
      <c r="D16" s="370">
        <f>(D15*$B$14)/(Term*12)</f>
        <v>29.966574990087086</v>
      </c>
      <c r="E16" s="370">
        <f>(E15*$B$14)/(Term*12)</f>
        <v>29.127510890364661</v>
      </c>
      <c r="F16" s="376">
        <f>E16+D16+C16</f>
        <v>288.62227842294521</v>
      </c>
      <c r="G16" s="15"/>
      <c r="H16"/>
    </row>
    <row r="17" spans="1:11" x14ac:dyDescent="0.2">
      <c r="A17" s="137" t="s">
        <v>107</v>
      </c>
      <c r="B17" s="68"/>
      <c r="C17" s="364">
        <f>IF(B15=0,0,C16/B15)</f>
        <v>19.127349378541123</v>
      </c>
      <c r="D17" s="370">
        <f>IF(B15=0,0,D16/B15)</f>
        <v>2.4972145825072571</v>
      </c>
      <c r="E17" s="370">
        <f>IF(B15=0,0,E16/B15)</f>
        <v>2.4272925741970552</v>
      </c>
      <c r="F17" s="376"/>
      <c r="H17" s="222"/>
    </row>
    <row r="18" spans="1:11" x14ac:dyDescent="0.2">
      <c r="A18" s="136"/>
      <c r="B18" s="69"/>
      <c r="C18" s="114"/>
      <c r="D18" s="115"/>
      <c r="E18" s="115"/>
      <c r="F18" s="134"/>
      <c r="H18"/>
    </row>
    <row r="19" spans="1:11" x14ac:dyDescent="0.2">
      <c r="A19" s="71" t="s">
        <v>95</v>
      </c>
      <c r="B19" s="68">
        <f>OthQty</f>
        <v>0</v>
      </c>
      <c r="C19" s="365">
        <f>IF(B19&gt;0,'Cost Breakdown'!C20/B19,0)</f>
        <v>0</v>
      </c>
      <c r="D19" s="371">
        <f>'Cost Breakdown'!D20</f>
        <v>0</v>
      </c>
      <c r="E19" s="371">
        <f>'Cost Breakdown'!E20</f>
        <v>0</v>
      </c>
      <c r="F19" s="376">
        <f>(E19+D19+C19)*B19</f>
        <v>0</v>
      </c>
      <c r="H19"/>
    </row>
    <row r="20" spans="1:11" x14ac:dyDescent="0.2">
      <c r="A20" s="71" t="s">
        <v>101</v>
      </c>
      <c r="B20" s="68">
        <f>B19</f>
        <v>0</v>
      </c>
      <c r="C20" s="365">
        <f>C19*(1+JHDWMrg)</f>
        <v>0</v>
      </c>
      <c r="D20" s="371">
        <f>D19*(1+JIMPMrg)</f>
        <v>0</v>
      </c>
      <c r="E20" s="371">
        <f>E19*(1+JMGTMrg)</f>
        <v>0</v>
      </c>
      <c r="F20" s="376">
        <f>(E20+D20+C20)*B20</f>
        <v>0</v>
      </c>
      <c r="H20"/>
    </row>
    <row r="21" spans="1:11" x14ac:dyDescent="0.2">
      <c r="A21" s="71" t="s">
        <v>104</v>
      </c>
      <c r="B21" s="68"/>
      <c r="C21" s="365">
        <f>(C20*$B19)/(Term*12)</f>
        <v>0</v>
      </c>
      <c r="D21" s="371">
        <f>(D20*$B$14)/(Term*12)</f>
        <v>0</v>
      </c>
      <c r="E21" s="371">
        <f>(E20*$B$14)/(Term*12)</f>
        <v>0</v>
      </c>
      <c r="F21" s="376">
        <f>E21+D21+C21</f>
        <v>0</v>
      </c>
      <c r="H21"/>
    </row>
    <row r="22" spans="1:11" x14ac:dyDescent="0.2">
      <c r="A22" s="137" t="s">
        <v>107</v>
      </c>
      <c r="B22" s="68"/>
      <c r="C22" s="365">
        <f>IF(B20=0,0,C21/B20)</f>
        <v>0</v>
      </c>
      <c r="D22" s="371">
        <f>IF(B20=0,0,D21/B20)</f>
        <v>0</v>
      </c>
      <c r="E22" s="371">
        <f>IF(B20=0,0,E21/B20)</f>
        <v>0</v>
      </c>
      <c r="F22" s="376"/>
      <c r="H22" s="222"/>
    </row>
    <row r="23" spans="1:11" ht="17" thickBot="1" x14ac:dyDescent="0.25">
      <c r="A23" s="136"/>
      <c r="B23" s="69"/>
      <c r="C23" s="114"/>
      <c r="D23" s="115"/>
      <c r="E23" s="115"/>
      <c r="F23" s="134"/>
      <c r="H23"/>
    </row>
    <row r="24" spans="1:11" ht="17" thickBot="1" x14ac:dyDescent="0.25">
      <c r="A24" s="139" t="s">
        <v>105</v>
      </c>
      <c r="B24" s="140"/>
      <c r="C24" s="366">
        <f>C16+C11+C6</f>
        <v>3537.1876581246042</v>
      </c>
      <c r="D24" s="372">
        <f>D16+D11+D6</f>
        <v>461.80557619987263</v>
      </c>
      <c r="E24" s="372">
        <f>E16+E11+E6</f>
        <v>448.87502006627636</v>
      </c>
      <c r="F24" s="377">
        <f>F16+F11+F6</f>
        <v>4447.8682543907535</v>
      </c>
      <c r="G24" s="222"/>
      <c r="H24"/>
    </row>
    <row r="25" spans="1:11" ht="17" thickBot="1" x14ac:dyDescent="0.25">
      <c r="E25" s="14"/>
      <c r="F25"/>
      <c r="G25" s="16"/>
      <c r="H25" s="16"/>
      <c r="I25" s="378"/>
      <c r="J25" s="12"/>
      <c r="K25" s="222"/>
    </row>
    <row r="26" spans="1:11" ht="17" thickBot="1" x14ac:dyDescent="0.25">
      <c r="A26" s="70"/>
      <c r="B26" s="420" t="s">
        <v>99</v>
      </c>
      <c r="C26" s="420" t="s">
        <v>101</v>
      </c>
      <c r="D26" s="420" t="s">
        <v>100</v>
      </c>
      <c r="E26" s="421" t="s">
        <v>104</v>
      </c>
      <c r="H26" s="449"/>
      <c r="I26" s="449"/>
      <c r="J26" s="15"/>
    </row>
    <row r="27" spans="1:11" x14ac:dyDescent="0.2">
      <c r="A27" s="71" t="s">
        <v>106</v>
      </c>
      <c r="B27" s="359">
        <f>(C4*B4)+(B9*C9)+(B14*C14)</f>
        <v>115762.50517498703</v>
      </c>
      <c r="C27" s="367">
        <f>B5*C5+B10*C10+B15*C15</f>
        <v>127338.75569248575</v>
      </c>
      <c r="D27" s="116">
        <f>IF(C27=0,0,(C27-B27)/C27)</f>
        <v>9.0909090909091009E-2</v>
      </c>
      <c r="E27" s="373">
        <f>C6+C11+C16</f>
        <v>3537.1876581246042</v>
      </c>
      <c r="H27" s="15"/>
      <c r="I27" s="15"/>
    </row>
    <row r="28" spans="1:11" x14ac:dyDescent="0.2">
      <c r="A28" s="71" t="s">
        <v>6</v>
      </c>
      <c r="B28" s="360">
        <f>D4*B4+D9*B9+D14*B14</f>
        <v>12500.000558793545</v>
      </c>
      <c r="C28" s="368">
        <f>B5*D5+B10*D10+B15*D15</f>
        <v>16625.000743195415</v>
      </c>
      <c r="D28" s="117">
        <f>IF(C28=0,0,(C28-B28)/C28)</f>
        <v>0.24812030075187969</v>
      </c>
      <c r="E28" s="374">
        <f>D6+D11+D16</f>
        <v>461.80557619987263</v>
      </c>
      <c r="H28"/>
    </row>
    <row r="29" spans="1:11" ht="17" thickBot="1" x14ac:dyDescent="0.25">
      <c r="A29" s="71" t="s">
        <v>50</v>
      </c>
      <c r="B29" s="361">
        <f>B4*E4+B9*E9+B14*E14</f>
        <v>12150.000543147329</v>
      </c>
      <c r="C29" s="368">
        <f>B15*E15+B10*E10+B5*E5</f>
        <v>16159.500722385948</v>
      </c>
      <c r="D29" s="117">
        <f>IF(C29=0,0,(C29-B29)/C29)</f>
        <v>0.24812030075187974</v>
      </c>
      <c r="E29" s="374">
        <f>E6+E11+E16</f>
        <v>448.87502006627636</v>
      </c>
      <c r="H29"/>
    </row>
    <row r="30" spans="1:11" ht="17" thickBot="1" x14ac:dyDescent="0.25">
      <c r="A30" s="71" t="s">
        <v>128</v>
      </c>
      <c r="B30" s="362">
        <f>B27+B28+B29</f>
        <v>140412.50627692792</v>
      </c>
      <c r="C30" s="362">
        <f>C27+C28+C29</f>
        <v>160123.25715806711</v>
      </c>
      <c r="D30" s="138">
        <f>IF(C30=0,0,(C30-B30)/C30)</f>
        <v>0.12309736406174616</v>
      </c>
      <c r="E30" s="362">
        <f>E27+E28+E29</f>
        <v>4447.8682543907535</v>
      </c>
      <c r="H30"/>
    </row>
    <row r="31" spans="1:11" ht="17" thickBot="1" x14ac:dyDescent="0.25">
      <c r="A31" s="43"/>
      <c r="B31" s="83" t="s">
        <v>154</v>
      </c>
      <c r="C31" s="83" t="s">
        <v>155</v>
      </c>
      <c r="D31" s="111"/>
      <c r="E31" s="45"/>
      <c r="F31"/>
      <c r="G31" s="14"/>
      <c r="H31"/>
    </row>
  </sheetData>
  <sheetProtection formatColumns="0" selectLockedCells="1"/>
  <mergeCells count="2">
    <mergeCell ref="H26:I26"/>
    <mergeCell ref="C1:E1"/>
  </mergeCell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6F847-3DB3-8A45-B791-F191A95B6C75}">
  <sheetPr codeName="Sheet6"/>
  <dimension ref="A1:N28"/>
  <sheetViews>
    <sheetView zoomScale="172" zoomScaleNormal="172" workbookViewId="0">
      <selection activeCell="D13" sqref="D13"/>
    </sheetView>
  </sheetViews>
  <sheetFormatPr baseColWidth="10" defaultRowHeight="16" x14ac:dyDescent="0.2"/>
  <cols>
    <col min="1" max="1" width="14.33203125" customWidth="1"/>
    <col min="3" max="3" width="15.33203125" bestFit="1" customWidth="1"/>
    <col min="4" max="4" width="14" bestFit="1" customWidth="1"/>
    <col min="5" max="5" width="13.33203125" bestFit="1" customWidth="1"/>
    <col min="6" max="6" width="13" bestFit="1" customWidth="1"/>
    <col min="7" max="8" width="14.6640625" customWidth="1"/>
    <col min="9" max="9" width="13.5" customWidth="1"/>
    <col min="10" max="11" width="16" customWidth="1"/>
    <col min="12" max="12" width="0.83203125" customWidth="1"/>
  </cols>
  <sheetData>
    <row r="1" spans="1:14" ht="29" x14ac:dyDescent="0.35">
      <c r="A1" s="425" t="s">
        <v>319</v>
      </c>
      <c r="B1" s="425"/>
      <c r="C1" s="425"/>
      <c r="D1" s="425"/>
      <c r="E1" s="425"/>
      <c r="F1" s="425"/>
      <c r="G1" s="425"/>
      <c r="H1" s="425"/>
      <c r="I1" s="425"/>
      <c r="J1" s="9"/>
      <c r="K1" s="9"/>
      <c r="L1" s="9"/>
    </row>
    <row r="2" spans="1:14" ht="16" customHeight="1" x14ac:dyDescent="0.2">
      <c r="A2" s="9"/>
      <c r="B2" s="135"/>
      <c r="C2" s="135"/>
      <c r="D2" s="135"/>
      <c r="E2" s="135"/>
      <c r="F2" s="135"/>
      <c r="G2" s="135"/>
      <c r="H2" s="9"/>
      <c r="I2" s="66"/>
      <c r="J2" s="9"/>
      <c r="K2" s="9"/>
      <c r="L2" s="9"/>
    </row>
    <row r="3" spans="1:14" ht="16" customHeight="1" thickBot="1" x14ac:dyDescent="0.25">
      <c r="A3" s="9"/>
      <c r="B3" s="135"/>
      <c r="C3" s="135"/>
      <c r="D3" s="135"/>
      <c r="E3" s="135" t="s">
        <v>301</v>
      </c>
      <c r="F3" s="135"/>
      <c r="G3" s="451" t="s">
        <v>309</v>
      </c>
      <c r="H3" s="451"/>
      <c r="I3" s="66"/>
      <c r="J3" s="9"/>
      <c r="K3" s="9"/>
      <c r="L3" s="9"/>
    </row>
    <row r="4" spans="1:14" ht="16" customHeight="1" thickBot="1" x14ac:dyDescent="0.25">
      <c r="A4" s="135" t="s">
        <v>315</v>
      </c>
      <c r="B4" s="298">
        <v>1</v>
      </c>
      <c r="C4" s="66" t="s">
        <v>297</v>
      </c>
      <c r="D4" s="288" t="str">
        <f>Term &amp; " Year"</f>
        <v>3 Year</v>
      </c>
      <c r="E4" s="292" t="s">
        <v>93</v>
      </c>
      <c r="F4" s="9"/>
      <c r="G4" s="296" t="s">
        <v>6</v>
      </c>
      <c r="H4" s="297" t="s">
        <v>314</v>
      </c>
      <c r="I4" s="66"/>
      <c r="J4" s="66"/>
      <c r="K4" s="9"/>
      <c r="L4" s="9"/>
    </row>
    <row r="5" spans="1:14" ht="16" customHeight="1" thickBot="1" x14ac:dyDescent="0.25">
      <c r="A5" s="288" t="s">
        <v>299</v>
      </c>
      <c r="B5" s="299">
        <v>0.5</v>
      </c>
      <c r="C5" s="287"/>
      <c r="D5" s="135"/>
      <c r="E5" s="292" t="s">
        <v>308</v>
      </c>
      <c r="F5" s="9"/>
      <c r="G5" s="300" t="s">
        <v>312</v>
      </c>
      <c r="H5" s="302" t="s">
        <v>313</v>
      </c>
      <c r="I5" s="9"/>
      <c r="J5" s="66"/>
      <c r="K5" s="9"/>
      <c r="L5" s="9"/>
    </row>
    <row r="6" spans="1:14" ht="16" customHeight="1" thickBot="1" x14ac:dyDescent="0.25">
      <c r="A6" s="9"/>
      <c r="B6" s="9"/>
      <c r="C6" s="9"/>
      <c r="D6" s="135"/>
      <c r="E6" s="135"/>
      <c r="F6" s="287"/>
      <c r="G6" s="301">
        <v>0</v>
      </c>
      <c r="H6" s="303">
        <v>0</v>
      </c>
      <c r="I6" s="66"/>
      <c r="J6" s="66"/>
      <c r="K6" s="9"/>
      <c r="L6" s="9"/>
    </row>
    <row r="7" spans="1:14" ht="16" customHeight="1" thickBot="1" x14ac:dyDescent="0.25">
      <c r="A7" s="135" t="s">
        <v>316</v>
      </c>
      <c r="B7" s="135" t="s">
        <v>317</v>
      </c>
      <c r="C7" s="304" t="s">
        <v>334</v>
      </c>
      <c r="D7" s="66" t="s">
        <v>289</v>
      </c>
      <c r="E7" s="66" t="s">
        <v>291</v>
      </c>
      <c r="F7" s="66" t="s">
        <v>293</v>
      </c>
      <c r="G7" s="295" t="s">
        <v>311</v>
      </c>
      <c r="H7" s="294" t="s">
        <v>310</v>
      </c>
      <c r="I7" s="66" t="s">
        <v>292</v>
      </c>
      <c r="J7" s="66" t="s">
        <v>296</v>
      </c>
      <c r="K7" s="66" t="s">
        <v>12</v>
      </c>
      <c r="L7" s="66"/>
    </row>
    <row r="8" spans="1:14" ht="16" customHeight="1" x14ac:dyDescent="0.2">
      <c r="A8" s="292" t="s">
        <v>290</v>
      </c>
      <c r="B8" s="48">
        <f>APQty</f>
        <v>500</v>
      </c>
      <c r="C8" s="285">
        <v>0</v>
      </c>
      <c r="D8" s="379">
        <f>APAmt</f>
        <v>169.93774169683459</v>
      </c>
      <c r="E8" s="255">
        <f>IF($G$6=0,IF($G8=0,'Cost Breakdown'!D17,$G8),$D8*$G$6)</f>
        <v>100</v>
      </c>
      <c r="F8" s="255">
        <f>IF($H$6=0,IF($H8=0,'Cost Breakdown'!E17,$H8),$D8*$H$6)</f>
        <v>120</v>
      </c>
      <c r="G8" s="405">
        <v>100</v>
      </c>
      <c r="H8" s="405">
        <v>120</v>
      </c>
      <c r="I8" s="407">
        <v>5</v>
      </c>
      <c r="J8" s="255" cm="1">
        <f t="array" ref="J8">SUM(D8:F8*IF($C$7="QTY Override On", $C8,$B8))</f>
        <v>194968.87084841728</v>
      </c>
      <c r="K8" s="394">
        <f>J8*$B$4</f>
        <v>194968.87084841728</v>
      </c>
      <c r="L8" s="9"/>
      <c r="M8" s="15"/>
    </row>
    <row r="9" spans="1:14" x14ac:dyDescent="0.2">
      <c r="A9" s="292" t="s">
        <v>302</v>
      </c>
      <c r="B9" s="290">
        <f>SWQty</f>
        <v>80</v>
      </c>
      <c r="C9" s="285">
        <v>0</v>
      </c>
      <c r="D9" s="380">
        <f>SWAmt</f>
        <v>291.02253213291993</v>
      </c>
      <c r="E9" s="257">
        <f>IF($G$6=0,IF($G9=0,'Cost Breakdown'!D14,$G9),$D9*$G$6)</f>
        <v>150</v>
      </c>
      <c r="F9" s="257">
        <f>IF($H$6=0,IF($H9=0,'Cost Breakdown'!E14,$H9),$D9*$H$6)</f>
        <v>240</v>
      </c>
      <c r="G9" s="405">
        <v>150</v>
      </c>
      <c r="H9" s="405">
        <v>240</v>
      </c>
      <c r="I9" s="408">
        <v>50</v>
      </c>
      <c r="J9" s="257" cm="1">
        <f t="array" ref="J9">SUM(D9:F9*IF($C$7="QTY Override On", $C9,$B9))</f>
        <v>54481.80257063359</v>
      </c>
      <c r="K9" s="395">
        <f>J9*$B$4</f>
        <v>54481.80257063359</v>
      </c>
      <c r="L9" s="9"/>
    </row>
    <row r="10" spans="1:14" x14ac:dyDescent="0.2">
      <c r="A10" s="292" t="s">
        <v>303</v>
      </c>
      <c r="B10" s="290">
        <f>GWQty</f>
        <v>12</v>
      </c>
      <c r="C10" s="285">
        <v>0</v>
      </c>
      <c r="D10" s="381">
        <f>'Cost Breakdown'!C19</f>
        <v>625.9859796613456</v>
      </c>
      <c r="E10" s="257">
        <f>IF($G$6=0,IF($G10=0,'Cost Breakdown'!D19,$G10),$D10*$G$6)</f>
        <v>200</v>
      </c>
      <c r="F10" s="257">
        <f>IF($H$6=0,IF($H10=0,'Cost Breakdown'!E19,$H10),$D10*$H$6)</f>
        <v>300</v>
      </c>
      <c r="G10" s="405">
        <v>200</v>
      </c>
      <c r="H10" s="405">
        <v>300</v>
      </c>
      <c r="I10" s="408">
        <v>10</v>
      </c>
      <c r="J10" s="257" cm="1">
        <f t="array" ref="J10">SUM(D10:F10*IF($C$7="QTY Override On", $C10,$B10))</f>
        <v>13511.831755936148</v>
      </c>
      <c r="K10" s="395">
        <f>J10*$B$4</f>
        <v>13511.831755936148</v>
      </c>
      <c r="L10" s="9"/>
    </row>
    <row r="11" spans="1:14" ht="17" thickBot="1" x14ac:dyDescent="0.25">
      <c r="A11" s="292" t="s">
        <v>95</v>
      </c>
      <c r="B11" s="291">
        <f>OthQty</f>
        <v>0</v>
      </c>
      <c r="C11" s="286">
        <v>0</v>
      </c>
      <c r="D11" s="382">
        <f>'Cost Breakdown'!C20</f>
        <v>0</v>
      </c>
      <c r="E11" s="259">
        <f>IF($G$6=0,IF($G11=0,'Cost Breakdown'!D20,$G11),$D11*$G$6)</f>
        <v>0</v>
      </c>
      <c r="F11" s="259">
        <f>IF($H$6=0,IF($H11=0,'Cost Breakdown'!E20,$H11),$D11*$H$6)</f>
        <v>0</v>
      </c>
      <c r="G11" s="406">
        <v>0</v>
      </c>
      <c r="H11" s="406">
        <v>0</v>
      </c>
      <c r="I11" s="409">
        <v>0</v>
      </c>
      <c r="J11" s="259" cm="1">
        <f t="array" ref="J11">SUM(D11:F11*IF($C$7="QTY Override On", $C11,$B11))</f>
        <v>0</v>
      </c>
      <c r="K11" s="396">
        <f>J11*$B$4</f>
        <v>0</v>
      </c>
      <c r="L11" s="9"/>
    </row>
    <row r="12" spans="1:14" ht="4" customHeight="1" thickBot="1" x14ac:dyDescent="0.25">
      <c r="A12" s="9"/>
      <c r="B12" s="9"/>
      <c r="C12" s="9"/>
      <c r="D12" s="9"/>
      <c r="E12" s="9"/>
      <c r="F12" s="135"/>
      <c r="G12" s="9"/>
      <c r="H12" s="135"/>
      <c r="I12" s="385"/>
      <c r="J12" s="386"/>
      <c r="K12" s="9"/>
      <c r="L12" s="9"/>
    </row>
    <row r="13" spans="1:14" x14ac:dyDescent="0.2">
      <c r="A13" s="9"/>
      <c r="B13" s="9"/>
      <c r="C13" s="9"/>
      <c r="D13" s="9"/>
      <c r="E13" s="9"/>
      <c r="F13" s="9"/>
      <c r="G13" s="9"/>
      <c r="H13" s="9"/>
      <c r="I13" s="289" t="s">
        <v>304</v>
      </c>
      <c r="J13" s="387">
        <f>SUM(J8:J11)</f>
        <v>262962.50517498702</v>
      </c>
      <c r="K13" s="397">
        <f>SUM(K8:K11)</f>
        <v>262962.50517498702</v>
      </c>
      <c r="L13" s="9"/>
    </row>
    <row r="14" spans="1:14" x14ac:dyDescent="0.2">
      <c r="A14" s="9"/>
      <c r="B14" s="9"/>
      <c r="C14" s="306"/>
      <c r="D14" s="9"/>
      <c r="E14" s="9"/>
      <c r="F14" s="452"/>
      <c r="G14" s="453"/>
      <c r="H14" s="9"/>
      <c r="I14" s="135" t="s">
        <v>305</v>
      </c>
      <c r="J14" s="388"/>
      <c r="K14" s="398">
        <v>0</v>
      </c>
      <c r="L14" s="9"/>
    </row>
    <row r="15" spans="1:14" ht="17" thickBot="1" x14ac:dyDescent="0.25">
      <c r="A15" s="9"/>
      <c r="B15" s="9"/>
      <c r="C15" s="452" t="s">
        <v>322</v>
      </c>
      <c r="D15" s="453"/>
      <c r="E15" s="9"/>
      <c r="F15" s="452" t="s">
        <v>323</v>
      </c>
      <c r="G15" s="453"/>
      <c r="H15" s="9"/>
      <c r="I15" s="135" t="s">
        <v>123</v>
      </c>
      <c r="J15" s="389">
        <f>J13</f>
        <v>262962.50517498702</v>
      </c>
      <c r="K15" s="399">
        <f>SUM(K13:K14)</f>
        <v>262962.50517498702</v>
      </c>
      <c r="L15" s="400"/>
      <c r="M15" s="15"/>
    </row>
    <row r="16" spans="1:14" ht="18" thickTop="1" thickBot="1" x14ac:dyDescent="0.25">
      <c r="A16" s="9"/>
      <c r="B16" s="9"/>
      <c r="C16" s="305" t="s">
        <v>324</v>
      </c>
      <c r="D16" s="307">
        <v>10000</v>
      </c>
      <c r="E16" s="9"/>
      <c r="F16" s="305" t="s">
        <v>327</v>
      </c>
      <c r="G16" s="307">
        <v>1500</v>
      </c>
      <c r="H16" s="9"/>
      <c r="I16" s="135" t="s">
        <v>300</v>
      </c>
      <c r="J16" s="390">
        <f>J15/(1-$B$5)</f>
        <v>525925.01034997404</v>
      </c>
      <c r="K16" s="396">
        <f>K15/(1-$B$5)</f>
        <v>525925.01034997404</v>
      </c>
      <c r="L16" s="9"/>
      <c r="N16" s="401"/>
    </row>
    <row r="17" spans="1:12" ht="4" customHeight="1" thickBot="1" x14ac:dyDescent="0.25">
      <c r="A17" s="9"/>
      <c r="B17" s="9"/>
      <c r="C17" s="9"/>
      <c r="D17" s="9"/>
      <c r="E17" s="9"/>
      <c r="F17" s="9"/>
      <c r="G17" s="9"/>
      <c r="H17" s="9"/>
      <c r="I17" s="135"/>
      <c r="J17" s="386"/>
      <c r="K17" s="386"/>
      <c r="L17" s="9"/>
    </row>
    <row r="18" spans="1:12" x14ac:dyDescent="0.2">
      <c r="A18" s="9"/>
      <c r="B18" s="9"/>
      <c r="C18" s="102" t="s">
        <v>325</v>
      </c>
      <c r="D18" s="383">
        <f>IF(D16&gt;0,J19/D16,0)</f>
        <v>1.4609028065277057</v>
      </c>
      <c r="E18" s="9"/>
      <c r="F18" s="102" t="s">
        <v>325</v>
      </c>
      <c r="G18" s="383">
        <f>IF(G16&gt;0,J19/G16,0)</f>
        <v>9.7393520435180374</v>
      </c>
      <c r="H18" s="9"/>
      <c r="I18" s="135" t="s">
        <v>294</v>
      </c>
      <c r="J18" s="391">
        <f>J15/(Term*12)</f>
        <v>7304.5140326385281</v>
      </c>
      <c r="K18" s="394">
        <f>K15/(Term*12)</f>
        <v>7304.5140326385281</v>
      </c>
      <c r="L18" s="9"/>
    </row>
    <row r="19" spans="1:12" ht="17" thickBot="1" x14ac:dyDescent="0.25">
      <c r="A19" s="9"/>
      <c r="B19" s="9"/>
      <c r="C19" s="102" t="s">
        <v>326</v>
      </c>
      <c r="D19" s="384">
        <f>D18*(Term*12)</f>
        <v>52.592501034997404</v>
      </c>
      <c r="E19" s="9"/>
      <c r="F19" s="102" t="s">
        <v>326</v>
      </c>
      <c r="G19" s="384">
        <f>G18*(Term*12)</f>
        <v>350.61667356664935</v>
      </c>
      <c r="H19" s="9"/>
      <c r="I19" s="135" t="s">
        <v>104</v>
      </c>
      <c r="J19" s="390">
        <f>J16/(Term*12)</f>
        <v>14609.028065277056</v>
      </c>
      <c r="K19" s="396">
        <f>K16/(Term*12)</f>
        <v>14609.028065277056</v>
      </c>
      <c r="L19" s="9"/>
    </row>
    <row r="20" spans="1:12" ht="4" customHeight="1" x14ac:dyDescent="0.2">
      <c r="A20" s="9"/>
      <c r="B20" s="9"/>
      <c r="C20" s="9"/>
      <c r="D20" s="9"/>
      <c r="E20" s="9"/>
      <c r="F20" s="9"/>
      <c r="G20" s="9"/>
      <c r="H20" s="9"/>
      <c r="I20" s="135"/>
      <c r="J20" s="392"/>
      <c r="K20" s="392"/>
      <c r="L20" s="9"/>
    </row>
    <row r="21" spans="1:12" x14ac:dyDescent="0.2">
      <c r="A21" s="9"/>
      <c r="B21" s="9"/>
      <c r="C21" s="9"/>
      <c r="D21" s="9"/>
      <c r="E21" s="9"/>
      <c r="F21" s="9"/>
      <c r="G21" s="9"/>
      <c r="H21" s="9"/>
      <c r="I21" s="135" t="s">
        <v>306</v>
      </c>
      <c r="J21" s="393">
        <f>J19-J18</f>
        <v>7304.5140326385281</v>
      </c>
      <c r="K21" s="395">
        <f>K19-K18</f>
        <v>7304.5140326385281</v>
      </c>
      <c r="L21" s="9"/>
    </row>
    <row r="22" spans="1:12" ht="17" thickBot="1" x14ac:dyDescent="0.25">
      <c r="A22" s="9"/>
      <c r="B22" s="9"/>
      <c r="C22" s="9"/>
      <c r="D22" s="9"/>
      <c r="E22" s="9"/>
      <c r="F22" s="9"/>
      <c r="G22" s="9"/>
      <c r="H22" s="9"/>
      <c r="I22" s="135" t="s">
        <v>295</v>
      </c>
      <c r="J22" s="390">
        <f>J21*(Term*12)</f>
        <v>262962.50517498702</v>
      </c>
      <c r="K22" s="396">
        <f>K21*(Term*12)</f>
        <v>262962.50517498702</v>
      </c>
      <c r="L22" s="9"/>
    </row>
    <row r="23" spans="1:12" ht="5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66"/>
      <c r="L23" s="9"/>
    </row>
    <row r="26" spans="1:12" x14ac:dyDescent="0.2">
      <c r="D26" s="15"/>
    </row>
    <row r="28" spans="1:12" x14ac:dyDescent="0.2">
      <c r="J28" s="15"/>
    </row>
  </sheetData>
  <sheetProtection formatColumns="0" selectLockedCells="1"/>
  <mergeCells count="5">
    <mergeCell ref="A1:I1"/>
    <mergeCell ref="G3:H3"/>
    <mergeCell ref="F14:G14"/>
    <mergeCell ref="C15:D15"/>
    <mergeCell ref="F15:G15"/>
  </mergeCells>
  <dataValidations count="1">
    <dataValidation type="list" allowBlank="1" showInputMessage="1" showErrorMessage="1" sqref="C7" xr:uid="{D7550949-3D56-7343-A9EC-1BC209DBCC9B}">
      <formula1>"QTY Override On, QTY Override Off"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565BC-9D61-864F-8C4D-B982043DD681}">
  <sheetPr codeName="Sheet7"/>
  <dimension ref="A1:M42"/>
  <sheetViews>
    <sheetView zoomScale="140" zoomScaleNormal="140" workbookViewId="0">
      <selection activeCell="D18" sqref="D18"/>
    </sheetView>
  </sheetViews>
  <sheetFormatPr baseColWidth="10" defaultColWidth="10.83203125" defaultRowHeight="16" x14ac:dyDescent="0.2"/>
  <cols>
    <col min="1" max="1" width="1.83203125" customWidth="1"/>
    <col min="2" max="2" width="26.6640625" bestFit="1" customWidth="1"/>
    <col min="3" max="3" width="7.33203125" bestFit="1" customWidth="1"/>
    <col min="4" max="4" width="16.1640625" customWidth="1"/>
    <col min="6" max="10" width="17" customWidth="1"/>
    <col min="11" max="11" width="17.33203125" customWidth="1"/>
    <col min="12" max="12" width="1.83203125" customWidth="1"/>
  </cols>
  <sheetData>
    <row r="1" spans="1:13" x14ac:dyDescent="0.2">
      <c r="A1" s="62"/>
      <c r="B1" s="440" t="s">
        <v>144</v>
      </c>
      <c r="C1" s="440"/>
      <c r="D1" s="440"/>
      <c r="E1" s="440"/>
      <c r="F1" s="440"/>
      <c r="G1" s="440"/>
      <c r="H1" s="440"/>
      <c r="I1" s="440"/>
      <c r="J1" s="440"/>
      <c r="K1" s="440"/>
      <c r="L1" s="441"/>
    </row>
    <row r="2" spans="1:13" x14ac:dyDescent="0.2">
      <c r="A2" s="2"/>
      <c r="B2" s="443"/>
      <c r="C2" s="443"/>
      <c r="D2" s="443"/>
      <c r="E2" s="443"/>
      <c r="F2" s="443"/>
      <c r="G2" s="443"/>
      <c r="H2" s="443"/>
      <c r="I2" s="443"/>
      <c r="J2" s="443"/>
      <c r="K2" s="443"/>
      <c r="L2" s="444"/>
    </row>
    <row r="3" spans="1:13" x14ac:dyDescent="0.2">
      <c r="A3" s="2"/>
      <c r="B3" s="456" t="s">
        <v>145</v>
      </c>
      <c r="C3" s="456"/>
      <c r="D3" s="456"/>
      <c r="E3" s="456"/>
      <c r="F3" s="456"/>
      <c r="G3" s="456"/>
      <c r="H3" s="456"/>
      <c r="I3" s="456"/>
      <c r="J3" s="456"/>
      <c r="K3" s="456"/>
      <c r="L3" s="457"/>
    </row>
    <row r="4" spans="1:13" x14ac:dyDescent="0.2">
      <c r="A4" s="2"/>
      <c r="B4" s="456"/>
      <c r="C4" s="456"/>
      <c r="D4" s="456"/>
      <c r="E4" s="456"/>
      <c r="F4" s="456"/>
      <c r="G4" s="456"/>
      <c r="H4" s="456"/>
      <c r="I4" s="456"/>
      <c r="J4" s="456"/>
      <c r="K4" s="456"/>
      <c r="L4" s="457"/>
    </row>
    <row r="5" spans="1:13" ht="20" thickBot="1" x14ac:dyDescent="0.3">
      <c r="A5" s="2"/>
      <c r="B5" s="82" t="s">
        <v>113</v>
      </c>
      <c r="C5" s="66" t="s">
        <v>110</v>
      </c>
      <c r="D5" s="66" t="s">
        <v>106</v>
      </c>
      <c r="E5" s="66" t="s">
        <v>93</v>
      </c>
      <c r="F5" s="66" t="s">
        <v>111</v>
      </c>
      <c r="G5" s="66" t="s">
        <v>101</v>
      </c>
      <c r="H5" s="66" t="s">
        <v>138</v>
      </c>
      <c r="I5" s="66" t="s">
        <v>139</v>
      </c>
      <c r="J5" s="66" t="s">
        <v>112</v>
      </c>
      <c r="K5" s="83" t="s">
        <v>117</v>
      </c>
      <c r="L5" s="4"/>
    </row>
    <row r="6" spans="1:13" x14ac:dyDescent="0.2">
      <c r="A6" s="2"/>
      <c r="B6" s="84" t="s">
        <v>102</v>
      </c>
      <c r="C6" s="85">
        <f>'Monthly Recurring'!B10</f>
        <v>500</v>
      </c>
      <c r="D6" s="254">
        <f>'Monthly Recurring'!C10</f>
        <v>186.93151586651805</v>
      </c>
      <c r="E6" s="254">
        <f>'Monthly Recurring'!D10</f>
        <v>24.405269026756287</v>
      </c>
      <c r="F6" s="254">
        <f>'Monthly Recurring'!E10</f>
        <v>23.721921494007116</v>
      </c>
      <c r="G6" s="254">
        <f>SUM(D6:F6)</f>
        <v>235.05870638728146</v>
      </c>
      <c r="H6" s="254">
        <f>G6*C6</f>
        <v>117529.35319364072</v>
      </c>
      <c r="I6" s="254">
        <f>'Cost Breakdown'!C16+'Cost Breakdown'!D16+'Cost Breakdown'!E16</f>
        <v>103061.79961562158</v>
      </c>
      <c r="J6" s="255">
        <f>H6-I6</f>
        <v>14467.553578019142</v>
      </c>
      <c r="K6" s="86">
        <f>IF(H6&gt;0,(J6/H6),0)</f>
        <v>0.12309736406174616</v>
      </c>
      <c r="L6" s="4"/>
    </row>
    <row r="7" spans="1:13" x14ac:dyDescent="0.2">
      <c r="A7" s="2"/>
      <c r="B7" s="84" t="s">
        <v>109</v>
      </c>
      <c r="C7" s="87">
        <f>'Monthly Recurring'!B5</f>
        <v>80</v>
      </c>
      <c r="D7" s="256">
        <f>'Monthly Recurring'!C5</f>
        <v>320.12478534621198</v>
      </c>
      <c r="E7" s="256">
        <f>'Monthly Recurring'!D5</f>
        <v>41.794619127176702</v>
      </c>
      <c r="F7" s="256">
        <f>'Monthly Recurring'!E5</f>
        <v>40.62436979161577</v>
      </c>
      <c r="G7" s="256">
        <f>SUM(D7:F7)</f>
        <v>402.54377426500446</v>
      </c>
      <c r="H7" s="256">
        <f>G7*C7</f>
        <v>32203.501941200357</v>
      </c>
      <c r="I7" s="256">
        <f>'Cost Breakdown'!C13+'Cost Breakdown'!D13+'Cost Breakdown'!E13</f>
        <v>28239.33573868126</v>
      </c>
      <c r="J7" s="257">
        <f>H7-I7</f>
        <v>3964.1662025190963</v>
      </c>
      <c r="K7" s="88">
        <f>IF(H7&gt;0,(J7/H7),0)</f>
        <v>0.12309736406174637</v>
      </c>
      <c r="L7" s="4"/>
    </row>
    <row r="8" spans="1:13" ht="17" thickBot="1" x14ac:dyDescent="0.25">
      <c r="A8" s="2"/>
      <c r="B8" s="84" t="s">
        <v>303</v>
      </c>
      <c r="C8" s="89">
        <f>'Monthly Recurring'!B14</f>
        <v>12</v>
      </c>
      <c r="D8" s="258">
        <f>'Monthly Recurring'!C15</f>
        <v>688.58457762748026</v>
      </c>
      <c r="E8" s="258">
        <f>'Monthly Recurring'!D15</f>
        <v>89.899724970261261</v>
      </c>
      <c r="F8" s="258">
        <f>'Monthly Recurring'!E15</f>
        <v>87.382532671093969</v>
      </c>
      <c r="G8" s="258">
        <f>SUM(D8:F8)</f>
        <v>865.86683526883542</v>
      </c>
      <c r="H8" s="258">
        <f>G8*C8</f>
        <v>10390.402023226025</v>
      </c>
      <c r="I8" s="258">
        <f>'Cost Breakdown'!C18+'Cost Breakdown'!D18+'Cost Breakdown'!E18</f>
        <v>9111.3709226250648</v>
      </c>
      <c r="J8" s="259">
        <f>H8-I8</f>
        <v>1279.0311006009597</v>
      </c>
      <c r="K8" s="90">
        <f>IF(H8&gt;0,(J8/H8),0)</f>
        <v>0.12309736406174634</v>
      </c>
      <c r="L8" s="4"/>
    </row>
    <row r="9" spans="1:13" ht="17" thickBot="1" x14ac:dyDescent="0.25">
      <c r="A9" s="2"/>
      <c r="B9" s="84" t="s">
        <v>95</v>
      </c>
      <c r="C9" s="89">
        <f>'Monthly Recurring'!B20</f>
        <v>0</v>
      </c>
      <c r="D9" s="258">
        <f>'Monthly Recurring'!C20</f>
        <v>0</v>
      </c>
      <c r="E9" s="258">
        <f>'Monthly Recurring'!D20</f>
        <v>0</v>
      </c>
      <c r="F9" s="258">
        <f>'Monthly Recurring'!E20</f>
        <v>0</v>
      </c>
      <c r="G9" s="258">
        <f>SUM(D9:F9)</f>
        <v>0</v>
      </c>
      <c r="H9" s="258">
        <f>G9*C9</f>
        <v>0</v>
      </c>
      <c r="I9" s="258">
        <f>'Cost Breakdown'!C20+'Cost Breakdown'!D20+'Cost Breakdown'!E20</f>
        <v>0</v>
      </c>
      <c r="J9" s="259">
        <f>H9-I9</f>
        <v>0</v>
      </c>
      <c r="K9" s="90">
        <f>IF(H9&gt;0,(J9/H9),0)</f>
        <v>0</v>
      </c>
      <c r="L9" s="4"/>
    </row>
    <row r="10" spans="1:13" x14ac:dyDescent="0.2">
      <c r="A10" s="2"/>
      <c r="B10" s="91" t="s">
        <v>108</v>
      </c>
      <c r="C10" s="66"/>
      <c r="D10" s="260">
        <f>SUM(D6:D9)</f>
        <v>1195.6408788402102</v>
      </c>
      <c r="E10" s="260">
        <f>SUM(E6:E9)</f>
        <v>156.09961312419426</v>
      </c>
      <c r="F10" s="260">
        <f>SUM(F6:F9)</f>
        <v>151.72882395671684</v>
      </c>
      <c r="G10" s="261">
        <f>SUM(D10:F10)</f>
        <v>1503.4693159211215</v>
      </c>
      <c r="H10" s="260">
        <f>SUM(H6:H9)</f>
        <v>160123.25715806711</v>
      </c>
      <c r="I10" s="260">
        <f>SUM(I6:I9)</f>
        <v>140412.50627692792</v>
      </c>
      <c r="J10" s="260">
        <f>H10-I10</f>
        <v>19710.750881139189</v>
      </c>
      <c r="K10" s="92">
        <f>IF(H10=0,0,(J10/H10))</f>
        <v>0.12309736406174616</v>
      </c>
      <c r="L10" s="4"/>
    </row>
    <row r="11" spans="1:13" x14ac:dyDescent="0.2">
      <c r="A11" s="2"/>
      <c r="B11" s="9"/>
      <c r="C11" s="9"/>
      <c r="D11" s="9"/>
      <c r="E11" s="9"/>
      <c r="F11" s="9"/>
      <c r="G11" s="9"/>
      <c r="H11" s="9"/>
      <c r="I11" s="9"/>
      <c r="J11" s="9"/>
      <c r="K11" s="9"/>
      <c r="L11" s="4"/>
    </row>
    <row r="12" spans="1:13" x14ac:dyDescent="0.2">
      <c r="A12" s="2"/>
      <c r="B12" s="443" t="s">
        <v>146</v>
      </c>
      <c r="C12" s="443"/>
      <c r="D12" s="443"/>
      <c r="E12" s="443"/>
      <c r="F12" s="443"/>
      <c r="G12" s="443"/>
      <c r="H12" s="443"/>
      <c r="I12" s="443"/>
      <c r="J12" s="443"/>
      <c r="K12" s="443"/>
      <c r="L12" s="444"/>
    </row>
    <row r="13" spans="1:13" x14ac:dyDescent="0.2">
      <c r="A13" s="2"/>
      <c r="B13" s="443"/>
      <c r="C13" s="443"/>
      <c r="D13" s="443"/>
      <c r="E13" s="443"/>
      <c r="F13" s="443"/>
      <c r="G13" s="443"/>
      <c r="H13" s="443"/>
      <c r="I13" s="443"/>
      <c r="J13" s="443"/>
      <c r="K13" s="443"/>
      <c r="L13" s="444"/>
    </row>
    <row r="14" spans="1:13" x14ac:dyDescent="0.2">
      <c r="A14" s="2"/>
      <c r="B14" s="9"/>
      <c r="C14" s="9"/>
      <c r="D14" s="9"/>
      <c r="E14" s="9"/>
      <c r="F14" s="9"/>
      <c r="G14" s="9"/>
      <c r="H14" s="9"/>
      <c r="I14" s="9"/>
      <c r="J14" s="9"/>
      <c r="K14" s="9"/>
      <c r="L14" s="4"/>
    </row>
    <row r="15" spans="1:13" s="12" customFormat="1" ht="19" x14ac:dyDescent="0.25">
      <c r="A15" s="93"/>
      <c r="B15" s="94" t="s">
        <v>114</v>
      </c>
      <c r="C15" s="95" t="s">
        <v>124</v>
      </c>
      <c r="D15" s="96" t="s">
        <v>104</v>
      </c>
      <c r="E15" s="95" t="s">
        <v>149</v>
      </c>
      <c r="F15" s="95" t="s">
        <v>118</v>
      </c>
      <c r="G15" s="95" t="s">
        <v>119</v>
      </c>
      <c r="H15" s="95" t="s">
        <v>123</v>
      </c>
      <c r="I15" s="96" t="s">
        <v>128</v>
      </c>
      <c r="J15" s="95" t="s">
        <v>112</v>
      </c>
      <c r="K15" s="96" t="s">
        <v>117</v>
      </c>
      <c r="L15" s="97"/>
    </row>
    <row r="16" spans="1:13" s="12" customFormat="1" x14ac:dyDescent="0.2">
      <c r="A16" s="93"/>
      <c r="B16" s="98" t="s">
        <v>130</v>
      </c>
      <c r="C16" s="99">
        <f t="shared" ref="C16:J16" si="0">SUM(C17:C23)</f>
        <v>0.75</v>
      </c>
      <c r="D16" s="262">
        <f t="shared" si="0"/>
        <v>30000</v>
      </c>
      <c r="E16" s="262">
        <f t="shared" si="0"/>
        <v>0</v>
      </c>
      <c r="F16" s="262">
        <f t="shared" si="0"/>
        <v>29534.831907749183</v>
      </c>
      <c r="G16" s="262">
        <f t="shared" si="0"/>
        <v>1764.9584836675788</v>
      </c>
      <c r="H16" s="262">
        <f t="shared" si="0"/>
        <v>31299.790391416762</v>
      </c>
      <c r="I16" s="262">
        <f t="shared" si="0"/>
        <v>1080000</v>
      </c>
      <c r="J16" s="262">
        <f t="shared" si="0"/>
        <v>1048700.2096085832</v>
      </c>
      <c r="K16" s="118">
        <f t="shared" ref="K16:K22" si="1">IF(I16&gt;0,(J16/I16),0)</f>
        <v>0.97101871260054007</v>
      </c>
      <c r="L16" s="97"/>
      <c r="M16" s="100"/>
    </row>
    <row r="17" spans="1:13" x14ac:dyDescent="0.2">
      <c r="A17" s="101"/>
      <c r="B17" s="79" t="s">
        <v>125</v>
      </c>
      <c r="C17" s="78">
        <v>0.75</v>
      </c>
      <c r="D17" s="263">
        <v>30000</v>
      </c>
      <c r="E17" s="264">
        <v>0</v>
      </c>
      <c r="F17" s="265">
        <f>((($C$6*(APLocDen)*APLocSub)+(($C$6*APLocDen)*(APAmt+'Cost Breakdown'!$D$17+'Cost Breakdown'!$E$17)))*C17)</f>
        <v>29534.831907749183</v>
      </c>
      <c r="G17" s="265">
        <f>(($C$6*APLocDen)*('Cost Breakdown'!$C$15+'Cost Breakdown'!$D$15+'Cost Breakdown'!$E$15))*C17</f>
        <v>1764.9584836675788</v>
      </c>
      <c r="H17" s="265">
        <f t="shared" ref="H17:H22" si="2">F17+G17+E17*(Term*12)</f>
        <v>31299.790391416762</v>
      </c>
      <c r="I17" s="265">
        <f t="shared" ref="I17:I22" si="3">D17*(Term*12)</f>
        <v>1080000</v>
      </c>
      <c r="J17" s="265">
        <f t="shared" ref="J17:J22" si="4">I17-H17-(E17*(Term*12))</f>
        <v>1048700.2096085832</v>
      </c>
      <c r="K17" s="119">
        <f t="shared" si="1"/>
        <v>0.97101871260054007</v>
      </c>
      <c r="L17" s="4"/>
    </row>
    <row r="18" spans="1:13" x14ac:dyDescent="0.2">
      <c r="A18" s="101"/>
      <c r="B18" s="80" t="s">
        <v>330</v>
      </c>
      <c r="C18" s="76">
        <v>0</v>
      </c>
      <c r="D18" s="266">
        <v>0</v>
      </c>
      <c r="E18" s="267">
        <v>0</v>
      </c>
      <c r="F18" s="265">
        <f>((($C$6*(APLocDen)*APLocSub)+(($C$6*APLocDen)*(APAmt+'Cost Breakdown'!$D$17+'Cost Breakdown'!$E$17)))*C18)</f>
        <v>0</v>
      </c>
      <c r="G18" s="265">
        <f>(($C$6*APLocDen)*('Cost Breakdown'!$C$15+'Cost Breakdown'!$D$15+'Cost Breakdown'!$E$15))*C18</f>
        <v>0</v>
      </c>
      <c r="H18" s="265">
        <f t="shared" si="2"/>
        <v>0</v>
      </c>
      <c r="I18" s="265">
        <f t="shared" si="3"/>
        <v>0</v>
      </c>
      <c r="J18" s="265">
        <f t="shared" si="4"/>
        <v>0</v>
      </c>
      <c r="K18" s="119">
        <f t="shared" si="1"/>
        <v>0</v>
      </c>
      <c r="L18" s="4"/>
      <c r="M18" s="120"/>
    </row>
    <row r="19" spans="1:13" x14ac:dyDescent="0.2">
      <c r="A19" s="101"/>
      <c r="B19" s="80" t="s">
        <v>126</v>
      </c>
      <c r="C19" s="76">
        <v>0</v>
      </c>
      <c r="D19" s="266">
        <v>0</v>
      </c>
      <c r="E19" s="267">
        <v>0</v>
      </c>
      <c r="F19" s="265">
        <f>((($C$6*(APLocDen)*APLocSub)+(($C$6*APLocDen)*(APAmt+'Cost Breakdown'!$D$17+'Cost Breakdown'!$E$17)))*C19)</f>
        <v>0</v>
      </c>
      <c r="G19" s="265">
        <f>(($C$6*APLocDen)*('Cost Breakdown'!$C$15+'Cost Breakdown'!$D$15+'Cost Breakdown'!$E$15))*C19</f>
        <v>0</v>
      </c>
      <c r="H19" s="265">
        <f t="shared" si="2"/>
        <v>0</v>
      </c>
      <c r="I19" s="265">
        <f t="shared" si="3"/>
        <v>0</v>
      </c>
      <c r="J19" s="265">
        <f t="shared" si="4"/>
        <v>0</v>
      </c>
      <c r="K19" s="119">
        <f t="shared" si="1"/>
        <v>0</v>
      </c>
      <c r="L19" s="4"/>
    </row>
    <row r="20" spans="1:13" x14ac:dyDescent="0.2">
      <c r="A20" s="101"/>
      <c r="B20" s="80" t="s">
        <v>127</v>
      </c>
      <c r="C20" s="76">
        <v>0</v>
      </c>
      <c r="D20" s="266">
        <v>0</v>
      </c>
      <c r="E20" s="267">
        <v>0</v>
      </c>
      <c r="F20" s="265">
        <f>((($C$6*(APLocDen)*APLocSub)+(($C$6*APLocDen)*(APAmt+'Cost Breakdown'!$D$17+'Cost Breakdown'!$E$17)))*C20)</f>
        <v>0</v>
      </c>
      <c r="G20" s="265">
        <f>(($C$6*APLocDen)*('Cost Breakdown'!$C$15+'Cost Breakdown'!$D$15+'Cost Breakdown'!$E$15))*C20</f>
        <v>0</v>
      </c>
      <c r="H20" s="265">
        <f t="shared" si="2"/>
        <v>0</v>
      </c>
      <c r="I20" s="265">
        <f t="shared" si="3"/>
        <v>0</v>
      </c>
      <c r="J20" s="265">
        <f t="shared" si="4"/>
        <v>0</v>
      </c>
      <c r="K20" s="119">
        <f t="shared" si="1"/>
        <v>0</v>
      </c>
      <c r="L20" s="4"/>
    </row>
    <row r="21" spans="1:13" x14ac:dyDescent="0.2">
      <c r="A21" s="101"/>
      <c r="B21" s="80" t="s">
        <v>331</v>
      </c>
      <c r="C21" s="76">
        <v>0</v>
      </c>
      <c r="D21" s="266">
        <v>0</v>
      </c>
      <c r="E21" s="267">
        <v>0</v>
      </c>
      <c r="F21" s="265">
        <f>((($C$6*(APLocDen)*APLocSub)+(($C$6*APLocDen)*(APAmt+'Cost Breakdown'!$D$17+'Cost Breakdown'!$E$17)))*C21)</f>
        <v>0</v>
      </c>
      <c r="G21" s="265">
        <f>(($C$6*APLocDen)*('Cost Breakdown'!$C$15+'Cost Breakdown'!$D$15+'Cost Breakdown'!$E$15))*C21</f>
        <v>0</v>
      </c>
      <c r="H21" s="265">
        <f t="shared" si="2"/>
        <v>0</v>
      </c>
      <c r="I21" s="265">
        <f t="shared" si="3"/>
        <v>0</v>
      </c>
      <c r="J21" s="265">
        <f t="shared" si="4"/>
        <v>0</v>
      </c>
      <c r="K21" s="119">
        <f t="shared" si="1"/>
        <v>0</v>
      </c>
      <c r="L21" s="4"/>
    </row>
    <row r="22" spans="1:13" x14ac:dyDescent="0.2">
      <c r="A22" s="101"/>
      <c r="B22" s="81" t="s">
        <v>132</v>
      </c>
      <c r="C22" s="77">
        <v>0</v>
      </c>
      <c r="D22" s="268">
        <v>0</v>
      </c>
      <c r="E22" s="269">
        <v>0</v>
      </c>
      <c r="F22" s="265">
        <f>((($C$6*(APLocDen)*APLocSub)+(($C$6*APLocDen)*(APAmt+'Cost Breakdown'!$D$17+'Cost Breakdown'!$E$17)))*C22)</f>
        <v>0</v>
      </c>
      <c r="G22" s="265">
        <f>(($C$6*APLocDen)*('Cost Breakdown'!$C$15+'Cost Breakdown'!$D$15+'Cost Breakdown'!$E$15))*C22</f>
        <v>0</v>
      </c>
      <c r="H22" s="265">
        <f t="shared" si="2"/>
        <v>0</v>
      </c>
      <c r="I22" s="265">
        <f t="shared" si="3"/>
        <v>0</v>
      </c>
      <c r="J22" s="265">
        <f t="shared" si="4"/>
        <v>0</v>
      </c>
      <c r="K22" s="119">
        <f t="shared" si="1"/>
        <v>0</v>
      </c>
      <c r="L22" s="4"/>
    </row>
    <row r="23" spans="1:13" x14ac:dyDescent="0.2">
      <c r="A23" s="2"/>
      <c r="B23" s="102"/>
      <c r="C23" s="103"/>
      <c r="D23" s="410"/>
      <c r="E23" s="410"/>
      <c r="F23" s="270"/>
      <c r="G23" s="410"/>
      <c r="H23" s="270"/>
      <c r="I23" s="410"/>
      <c r="J23" s="270"/>
      <c r="K23" s="103"/>
      <c r="L23" s="4"/>
    </row>
    <row r="24" spans="1:13" s="12" customFormat="1" x14ac:dyDescent="0.2">
      <c r="A24" s="93"/>
      <c r="B24" s="98" t="s">
        <v>134</v>
      </c>
      <c r="C24" s="99">
        <f t="shared" ref="C24:J24" si="5">SUM(C25:C30)</f>
        <v>0</v>
      </c>
      <c r="D24" s="262">
        <f t="shared" si="5"/>
        <v>0</v>
      </c>
      <c r="E24" s="262">
        <f t="shared" si="5"/>
        <v>0</v>
      </c>
      <c r="F24" s="262">
        <f t="shared" si="5"/>
        <v>0</v>
      </c>
      <c r="G24" s="262">
        <f t="shared" si="5"/>
        <v>0</v>
      </c>
      <c r="H24" s="262">
        <f t="shared" si="5"/>
        <v>0</v>
      </c>
      <c r="I24" s="262">
        <f t="shared" si="5"/>
        <v>0</v>
      </c>
      <c r="J24" s="262">
        <f t="shared" si="5"/>
        <v>0</v>
      </c>
      <c r="K24" s="118">
        <f t="shared" ref="K24:K29" si="6">IF(I24&gt;0,(J24/I24),0)</f>
        <v>0</v>
      </c>
      <c r="L24" s="97"/>
      <c r="M24" s="100"/>
    </row>
    <row r="25" spans="1:13" x14ac:dyDescent="0.2">
      <c r="A25" s="101"/>
      <c r="B25" s="79" t="s">
        <v>332</v>
      </c>
      <c r="C25" s="78">
        <v>0</v>
      </c>
      <c r="D25" s="263">
        <v>0</v>
      </c>
      <c r="E25" s="264">
        <v>0</v>
      </c>
      <c r="F25" s="265">
        <f>(($C$6*(1+APLocDen))*APAnlSub)*C25</f>
        <v>0</v>
      </c>
      <c r="G25" s="265">
        <v>0</v>
      </c>
      <c r="H25" s="265">
        <f>F25+G25+E25*(Term*12)</f>
        <v>0</v>
      </c>
      <c r="I25" s="265">
        <f>D25*(Term*12)</f>
        <v>0</v>
      </c>
      <c r="J25" s="265">
        <f>I25-H25-(E25*(Term*12))</f>
        <v>0</v>
      </c>
      <c r="K25" s="119">
        <f t="shared" si="6"/>
        <v>0</v>
      </c>
      <c r="L25" s="4"/>
    </row>
    <row r="26" spans="1:13" x14ac:dyDescent="0.2">
      <c r="A26" s="101"/>
      <c r="B26" s="80" t="s">
        <v>129</v>
      </c>
      <c r="C26" s="76">
        <v>0</v>
      </c>
      <c r="D26" s="266">
        <v>0</v>
      </c>
      <c r="E26" s="267">
        <v>0</v>
      </c>
      <c r="F26" s="265">
        <f>(($C$6*(1+APLocDen))*APAnlSub)*C26</f>
        <v>0</v>
      </c>
      <c r="G26" s="265">
        <v>0</v>
      </c>
      <c r="H26" s="265">
        <f>F26+G26+E26*(Term*12)</f>
        <v>0</v>
      </c>
      <c r="I26" s="265">
        <f>D26*(Term*12)</f>
        <v>0</v>
      </c>
      <c r="J26" s="265">
        <f>I26-H26-(E26*(Term*12))</f>
        <v>0</v>
      </c>
      <c r="K26" s="119">
        <f t="shared" si="6"/>
        <v>0</v>
      </c>
      <c r="L26" s="4"/>
    </row>
    <row r="27" spans="1:13" x14ac:dyDescent="0.2">
      <c r="A27" s="101"/>
      <c r="B27" s="80" t="s">
        <v>131</v>
      </c>
      <c r="C27" s="76">
        <v>0</v>
      </c>
      <c r="D27" s="266">
        <v>0</v>
      </c>
      <c r="E27" s="267">
        <v>0</v>
      </c>
      <c r="F27" s="265">
        <f>(($C$6*(1+APLocDen))*APAnlSub)*C27</f>
        <v>0</v>
      </c>
      <c r="G27" s="265">
        <v>0</v>
      </c>
      <c r="H27" s="265">
        <f>F27+G27+E27*(Term*12)</f>
        <v>0</v>
      </c>
      <c r="I27" s="265">
        <f>D27*(Term*12)</f>
        <v>0</v>
      </c>
      <c r="J27" s="265">
        <f>I27-H27-(E27*(Term*12))</f>
        <v>0</v>
      </c>
      <c r="K27" s="119">
        <f t="shared" si="6"/>
        <v>0</v>
      </c>
      <c r="L27" s="4"/>
    </row>
    <row r="28" spans="1:13" x14ac:dyDescent="0.2">
      <c r="A28" s="101"/>
      <c r="B28" s="80" t="s">
        <v>133</v>
      </c>
      <c r="C28" s="76">
        <v>0</v>
      </c>
      <c r="D28" s="266">
        <v>0</v>
      </c>
      <c r="E28" s="267">
        <v>0</v>
      </c>
      <c r="F28" s="265">
        <f>(($C$6*(1+APLocDen))*APAnlSub)*C28</f>
        <v>0</v>
      </c>
      <c r="G28" s="265">
        <v>0</v>
      </c>
      <c r="H28" s="265">
        <f>F28+G28+E28*(Term*12)</f>
        <v>0</v>
      </c>
      <c r="I28" s="265">
        <f>D28*(Term*12)</f>
        <v>0</v>
      </c>
      <c r="J28" s="265">
        <f>I28-H28-(E28*(Term*12))</f>
        <v>0</v>
      </c>
      <c r="K28" s="119">
        <f t="shared" si="6"/>
        <v>0</v>
      </c>
      <c r="L28" s="4"/>
    </row>
    <row r="29" spans="1:13" x14ac:dyDescent="0.2">
      <c r="A29" s="101"/>
      <c r="B29" s="81" t="s">
        <v>132</v>
      </c>
      <c r="C29" s="77">
        <v>0</v>
      </c>
      <c r="D29" s="268">
        <v>0</v>
      </c>
      <c r="E29" s="269">
        <v>0</v>
      </c>
      <c r="F29" s="265">
        <f>(($C$6*(1+APLocDen))*APAnlSub)*C29</f>
        <v>0</v>
      </c>
      <c r="G29" s="265">
        <v>0</v>
      </c>
      <c r="H29" s="265">
        <f>F29+G29+E29*(Term*12)</f>
        <v>0</v>
      </c>
      <c r="I29" s="265">
        <f>D29*(Term*12)</f>
        <v>0</v>
      </c>
      <c r="J29" s="265">
        <f>I29-H29-(E29*(Term*12))</f>
        <v>0</v>
      </c>
      <c r="K29" s="119">
        <f t="shared" si="6"/>
        <v>0</v>
      </c>
      <c r="L29" s="4"/>
    </row>
    <row r="30" spans="1:13" x14ac:dyDescent="0.2">
      <c r="A30" s="2"/>
      <c r="B30" s="102"/>
      <c r="C30" s="103"/>
      <c r="D30" s="410"/>
      <c r="E30" s="410"/>
      <c r="F30" s="270"/>
      <c r="G30" s="410"/>
      <c r="H30" s="270"/>
      <c r="I30" s="410"/>
      <c r="J30" s="270"/>
      <c r="K30" s="103"/>
      <c r="L30" s="4"/>
    </row>
    <row r="31" spans="1:13" s="12" customFormat="1" x14ac:dyDescent="0.2">
      <c r="A31" s="93"/>
      <c r="B31" s="98" t="s">
        <v>135</v>
      </c>
      <c r="C31" s="99">
        <f>SUM(C32:C37)</f>
        <v>0</v>
      </c>
      <c r="D31" s="262">
        <f>SUM(D32:D37)</f>
        <v>0</v>
      </c>
      <c r="E31" s="262">
        <f>SUM(E32:E37)</f>
        <v>0</v>
      </c>
      <c r="F31" s="262">
        <f>SUM(F32:F37)</f>
        <v>0</v>
      </c>
      <c r="G31" s="262">
        <f>SUM(G32:G37)</f>
        <v>0</v>
      </c>
      <c r="H31" s="262">
        <f>SUM(E32:E37)</f>
        <v>0</v>
      </c>
      <c r="I31" s="262">
        <f>SUM(I32:I37)</f>
        <v>0</v>
      </c>
      <c r="J31" s="262">
        <f>SUM(J32:J37)</f>
        <v>0</v>
      </c>
      <c r="K31" s="118">
        <f t="shared" ref="K31:K36" si="7">IF(I31&gt;0,(J31/I31),0)</f>
        <v>0</v>
      </c>
      <c r="L31" s="97"/>
      <c r="M31" s="100"/>
    </row>
    <row r="32" spans="1:13" x14ac:dyDescent="0.2">
      <c r="A32" s="101"/>
      <c r="B32" s="79" t="s">
        <v>141</v>
      </c>
      <c r="C32" s="78">
        <v>0</v>
      </c>
      <c r="D32" s="263">
        <v>0</v>
      </c>
      <c r="E32" s="264">
        <v>0</v>
      </c>
      <c r="F32" s="265">
        <f>(($C$6*(1+APLocDen))*APIoTSuB)*C32</f>
        <v>0</v>
      </c>
      <c r="G32" s="265">
        <v>0</v>
      </c>
      <c r="H32" s="265">
        <f>F32+G32+E32*(Term*12)</f>
        <v>0</v>
      </c>
      <c r="I32" s="265">
        <f>D32*(Term*12)</f>
        <v>0</v>
      </c>
      <c r="J32" s="265">
        <f>I32-H32-(E32*(Term*12))</f>
        <v>0</v>
      </c>
      <c r="K32" s="119">
        <f t="shared" si="7"/>
        <v>0</v>
      </c>
      <c r="L32" s="4"/>
    </row>
    <row r="33" spans="1:12" x14ac:dyDescent="0.2">
      <c r="A33" s="101"/>
      <c r="B33" s="80" t="s">
        <v>142</v>
      </c>
      <c r="C33" s="76">
        <v>0</v>
      </c>
      <c r="D33" s="266">
        <v>0</v>
      </c>
      <c r="E33" s="267">
        <v>0</v>
      </c>
      <c r="F33" s="265">
        <f>(($C$6*(1+APLocDen))*APIoTSuB)*C33</f>
        <v>0</v>
      </c>
      <c r="G33" s="265">
        <v>0</v>
      </c>
      <c r="H33" s="265">
        <f>F33+G33+E33*(Term*12)</f>
        <v>0</v>
      </c>
      <c r="I33" s="265">
        <f>D33*(Term*12)</f>
        <v>0</v>
      </c>
      <c r="J33" s="265">
        <f>I33-H33-(E33*(Term*12))</f>
        <v>0</v>
      </c>
      <c r="K33" s="119">
        <f t="shared" si="7"/>
        <v>0</v>
      </c>
      <c r="L33" s="4"/>
    </row>
    <row r="34" spans="1:12" x14ac:dyDescent="0.2">
      <c r="A34" s="101"/>
      <c r="B34" s="80" t="s">
        <v>143</v>
      </c>
      <c r="C34" s="76">
        <v>0</v>
      </c>
      <c r="D34" s="266">
        <v>0</v>
      </c>
      <c r="E34" s="267">
        <v>0</v>
      </c>
      <c r="F34" s="265">
        <f>(($C$6*(1+APLocDen))*APIoTSuB)*C34</f>
        <v>0</v>
      </c>
      <c r="G34" s="265">
        <v>0</v>
      </c>
      <c r="H34" s="265">
        <f>F34+G34+E34*(Term*12)</f>
        <v>0</v>
      </c>
      <c r="I34" s="265">
        <f>D34*(Term*12)</f>
        <v>0</v>
      </c>
      <c r="J34" s="265">
        <f>I34-H34-(E34*(Term*12))</f>
        <v>0</v>
      </c>
      <c r="K34" s="119">
        <f t="shared" si="7"/>
        <v>0</v>
      </c>
      <c r="L34" s="4"/>
    </row>
    <row r="35" spans="1:12" x14ac:dyDescent="0.2">
      <c r="A35" s="101"/>
      <c r="B35" s="80" t="s">
        <v>133</v>
      </c>
      <c r="C35" s="76">
        <v>0</v>
      </c>
      <c r="D35" s="266">
        <v>0</v>
      </c>
      <c r="E35" s="267">
        <v>0</v>
      </c>
      <c r="F35" s="265">
        <f>(($C$6*(1+APLocDen))*APIoTSuB)*C35</f>
        <v>0</v>
      </c>
      <c r="G35" s="265">
        <v>0</v>
      </c>
      <c r="H35" s="265">
        <f>F35+G35+E35*(Term*12)</f>
        <v>0</v>
      </c>
      <c r="I35" s="265">
        <f>D35*(Term*12)</f>
        <v>0</v>
      </c>
      <c r="J35" s="265">
        <f>I35-H35-(E35*(Term*12))</f>
        <v>0</v>
      </c>
      <c r="K35" s="119">
        <f t="shared" si="7"/>
        <v>0</v>
      </c>
      <c r="L35" s="4"/>
    </row>
    <row r="36" spans="1:12" x14ac:dyDescent="0.2">
      <c r="A36" s="101"/>
      <c r="B36" s="81" t="s">
        <v>132</v>
      </c>
      <c r="C36" s="77">
        <v>0</v>
      </c>
      <c r="D36" s="268">
        <v>0</v>
      </c>
      <c r="E36" s="269">
        <v>0</v>
      </c>
      <c r="F36" s="265">
        <f>(($C$6*(1+APLocDen))*APIoTSuB)*C36</f>
        <v>0</v>
      </c>
      <c r="G36" s="265">
        <v>0</v>
      </c>
      <c r="H36" s="265">
        <f>F36+G36+E36*(Term*12)</f>
        <v>0</v>
      </c>
      <c r="I36" s="265">
        <f>D36*(Term*12)</f>
        <v>0</v>
      </c>
      <c r="J36" s="265">
        <f>I36-H36-(E36*(Term*12))</f>
        <v>0</v>
      </c>
      <c r="K36" s="119">
        <f t="shared" si="7"/>
        <v>0</v>
      </c>
      <c r="L36" s="4"/>
    </row>
    <row r="37" spans="1:12" x14ac:dyDescent="0.2">
      <c r="A37" s="2"/>
      <c r="B37" s="102"/>
      <c r="C37" s="103"/>
      <c r="D37" s="410"/>
      <c r="E37" s="410"/>
      <c r="F37" s="270"/>
      <c r="G37" s="410"/>
      <c r="H37" s="270"/>
      <c r="I37" s="410"/>
      <c r="J37" s="104"/>
      <c r="K37" s="9"/>
      <c r="L37" s="4"/>
    </row>
    <row r="38" spans="1:12" x14ac:dyDescent="0.2">
      <c r="A38" s="2"/>
      <c r="B38" s="102"/>
      <c r="C38" s="103"/>
      <c r="D38" s="411" t="s">
        <v>128</v>
      </c>
      <c r="E38" s="411" t="s">
        <v>149</v>
      </c>
      <c r="F38" s="411" t="s">
        <v>118</v>
      </c>
      <c r="G38" s="271" t="s">
        <v>119</v>
      </c>
      <c r="H38" s="411" t="s">
        <v>120</v>
      </c>
      <c r="I38" s="271" t="s">
        <v>139</v>
      </c>
      <c r="J38" s="105" t="s">
        <v>112</v>
      </c>
      <c r="K38" s="66" t="s">
        <v>117</v>
      </c>
      <c r="L38" s="4"/>
    </row>
    <row r="39" spans="1:12" ht="19" x14ac:dyDescent="0.25">
      <c r="A39" s="2"/>
      <c r="B39" s="454" t="s">
        <v>136</v>
      </c>
      <c r="C39" s="455"/>
      <c r="D39" s="272">
        <f>'Monthly Recurring'!F24*(Term*12)</f>
        <v>160123.25715806714</v>
      </c>
      <c r="E39" s="273">
        <v>0</v>
      </c>
      <c r="F39" s="273">
        <f>'Monthly Recurring'!F9</f>
        <v>103061.79961562158</v>
      </c>
      <c r="G39" s="273">
        <f>'Monthly Recurring'!F4</f>
        <v>28239.33573868126</v>
      </c>
      <c r="H39" s="273">
        <f>'Monthly Recurring'!F14</f>
        <v>9111.3709226250648</v>
      </c>
      <c r="I39" s="273">
        <f>SUM(E39:H39)</f>
        <v>140412.50627692792</v>
      </c>
      <c r="J39" s="273">
        <f>D39-I39</f>
        <v>19710.750881139218</v>
      </c>
      <c r="K39" s="106">
        <f>IF(D39&gt;0,(J39/D39),0)</f>
        <v>0.12309736406174632</v>
      </c>
      <c r="L39" s="4"/>
    </row>
    <row r="40" spans="1:12" ht="20" thickBot="1" x14ac:dyDescent="0.3">
      <c r="A40" s="2"/>
      <c r="B40" s="454" t="s">
        <v>137</v>
      </c>
      <c r="C40" s="455"/>
      <c r="D40" s="274">
        <f>(D31+D24+D16)*(Term*12)</f>
        <v>1080000</v>
      </c>
      <c r="E40" s="275">
        <f>(E31+E24+E16)*(Term*12)</f>
        <v>0</v>
      </c>
      <c r="F40" s="275">
        <f>F31+F24+F16</f>
        <v>29534.831907749183</v>
      </c>
      <c r="G40" s="275">
        <f>G31+G24+G16</f>
        <v>1764.9584836675788</v>
      </c>
      <c r="H40" s="275">
        <f>(E31+E24+E16)*(Term*12)</f>
        <v>0</v>
      </c>
      <c r="I40" s="275">
        <f>SUM(E40:H40)</f>
        <v>31299.790391416762</v>
      </c>
      <c r="J40" s="275">
        <f>D40-I40</f>
        <v>1048700.2096085832</v>
      </c>
      <c r="K40" s="107">
        <f>IF(D40&gt;0,(J40/D40),0)</f>
        <v>0.97101871260054007</v>
      </c>
      <c r="L40" s="4"/>
    </row>
    <row r="41" spans="1:12" ht="20" thickTop="1" x14ac:dyDescent="0.25">
      <c r="A41" s="2"/>
      <c r="B41" s="454" t="s">
        <v>140</v>
      </c>
      <c r="C41" s="455"/>
      <c r="D41" s="276">
        <f>D40+D39</f>
        <v>1240123.2571580671</v>
      </c>
      <c r="E41" s="277">
        <f>E40+E39</f>
        <v>0</v>
      </c>
      <c r="F41" s="277">
        <f>F40+F39</f>
        <v>132596.63152337077</v>
      </c>
      <c r="G41" s="277">
        <f>G40+G39</f>
        <v>30004.294222348839</v>
      </c>
      <c r="H41" s="277">
        <f>H40+H39</f>
        <v>9111.3709226250648</v>
      </c>
      <c r="I41" s="277">
        <f>SUM(E41:H41)</f>
        <v>171712.29666834467</v>
      </c>
      <c r="J41" s="277">
        <f>D41-I41</f>
        <v>1068410.9604897224</v>
      </c>
      <c r="K41" s="108">
        <f>IF(D41&gt;0,(J41/D41),0)</f>
        <v>0.86153610483699039</v>
      </c>
      <c r="L41" s="4"/>
    </row>
    <row r="42" spans="1:12" ht="17" thickBot="1" x14ac:dyDescent="0.25">
      <c r="A42" s="43"/>
      <c r="B42" s="109"/>
      <c r="C42" s="110"/>
      <c r="D42" s="111"/>
      <c r="E42" s="412"/>
      <c r="F42" s="412"/>
      <c r="G42" s="278"/>
      <c r="H42" s="412"/>
      <c r="I42" s="278"/>
      <c r="J42" s="278"/>
      <c r="K42" s="112"/>
      <c r="L42" s="45"/>
    </row>
  </sheetData>
  <sheetProtection formatColumns="0" selectLockedCells="1"/>
  <mergeCells count="6">
    <mergeCell ref="B40:C40"/>
    <mergeCell ref="B39:C39"/>
    <mergeCell ref="B41:C41"/>
    <mergeCell ref="B1:L2"/>
    <mergeCell ref="B3:L4"/>
    <mergeCell ref="B12:L13"/>
  </mergeCells>
  <dataValidations count="2">
    <dataValidation type="custom" allowBlank="1" showInputMessage="1" showErrorMessage="1" errorTitle="Total percentage too high!" error="The total percentage for Asset Visibility must be 100% or less." promptTitle="Please enter a lower percentage." sqref="C38" xr:uid="{FB6D5272-6FCB-B645-AAF5-ED85625DA8CB}">
      <formula1>SUM($C$17:$C$23)&lt;=1</formula1>
    </dataValidation>
    <dataValidation allowBlank="1" showInputMessage="1" showErrorMessage="1" errorTitle="Total percentage too high!" error="The total percentage for Asset Visibility must be 100% or less." promptTitle="Please enter a lower percentage." sqref="C16:C37" xr:uid="{261AC49D-170F-044B-97C7-07323FAFF5FD}"/>
  </dataValidation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2220-3208-6B4E-A88A-3AA8A750CE79}">
  <sheetPr codeName="Sheet4"/>
  <dimension ref="A1:E82"/>
  <sheetViews>
    <sheetView zoomScale="241" zoomScaleNormal="241" workbookViewId="0">
      <selection activeCell="A11" sqref="A11"/>
    </sheetView>
  </sheetViews>
  <sheetFormatPr baseColWidth="10" defaultColWidth="10.83203125" defaultRowHeight="16" x14ac:dyDescent="0.2"/>
  <cols>
    <col min="1" max="1" width="11.5" bestFit="1" customWidth="1"/>
    <col min="2" max="2" width="13.5" bestFit="1" customWidth="1"/>
    <col min="3" max="3" width="75" bestFit="1" customWidth="1"/>
    <col min="4" max="4" width="19.5" bestFit="1" customWidth="1"/>
  </cols>
  <sheetData>
    <row r="1" spans="1:5" ht="16" customHeight="1" x14ac:dyDescent="0.2">
      <c r="A1" s="427" t="s">
        <v>11</v>
      </c>
      <c r="B1" s="428"/>
      <c r="C1" s="428"/>
      <c r="D1" s="429"/>
      <c r="E1" s="61"/>
    </row>
    <row r="2" spans="1:5" ht="17" customHeight="1" thickBot="1" x14ac:dyDescent="0.25">
      <c r="A2" s="430"/>
      <c r="B2" s="431"/>
      <c r="C2" s="431"/>
      <c r="D2" s="432"/>
      <c r="E2" s="61"/>
    </row>
    <row r="3" spans="1:5" ht="17" thickBot="1" x14ac:dyDescent="0.25">
      <c r="A3" s="48" t="s">
        <v>0</v>
      </c>
      <c r="B3" s="48" t="s">
        <v>1</v>
      </c>
      <c r="C3" s="53" t="s">
        <v>2</v>
      </c>
      <c r="D3" s="54" t="s">
        <v>46</v>
      </c>
      <c r="E3" s="61"/>
    </row>
    <row r="4" spans="1:5" ht="17" thickBot="1" x14ac:dyDescent="0.25">
      <c r="A4" s="460" t="s">
        <v>68</v>
      </c>
      <c r="B4" s="461"/>
      <c r="C4" s="461"/>
      <c r="D4" s="462"/>
      <c r="E4" s="61"/>
    </row>
    <row r="5" spans="1:5" x14ac:dyDescent="0.2">
      <c r="A5" s="49">
        <v>0.25</v>
      </c>
      <c r="B5" s="50">
        <v>0.25</v>
      </c>
      <c r="C5" s="29" t="s">
        <v>16</v>
      </c>
      <c r="D5" s="29" t="s">
        <v>47</v>
      </c>
      <c r="E5" s="61"/>
    </row>
    <row r="6" spans="1:5" x14ac:dyDescent="0.2">
      <c r="A6" s="1">
        <v>0.45</v>
      </c>
      <c r="B6" s="7">
        <v>0.45</v>
      </c>
      <c r="C6" s="8" t="s">
        <v>18</v>
      </c>
      <c r="D6" s="8" t="s">
        <v>48</v>
      </c>
      <c r="E6" s="61"/>
    </row>
    <row r="7" spans="1:5" x14ac:dyDescent="0.2">
      <c r="A7" s="1">
        <v>0.15</v>
      </c>
      <c r="B7" s="7">
        <v>0.15</v>
      </c>
      <c r="C7" s="8" t="s">
        <v>9</v>
      </c>
      <c r="D7" s="8" t="s">
        <v>49</v>
      </c>
      <c r="E7" s="61"/>
    </row>
    <row r="8" spans="1:5" ht="17" thickBot="1" x14ac:dyDescent="0.25">
      <c r="A8" s="1">
        <v>0.5</v>
      </c>
      <c r="B8" s="19">
        <v>0.75</v>
      </c>
      <c r="C8" s="8" t="s">
        <v>71</v>
      </c>
      <c r="D8" s="8" t="s">
        <v>56</v>
      </c>
      <c r="E8" s="61"/>
    </row>
    <row r="9" spans="1:5" ht="17" thickBot="1" x14ac:dyDescent="0.25">
      <c r="A9" s="463" t="s">
        <v>69</v>
      </c>
      <c r="B9" s="464"/>
      <c r="C9" s="464"/>
      <c r="D9" s="465"/>
      <c r="E9" s="61"/>
    </row>
    <row r="10" spans="1:5" x14ac:dyDescent="0.2">
      <c r="A10" s="1">
        <v>0.3</v>
      </c>
      <c r="B10" s="7">
        <v>0.3</v>
      </c>
      <c r="C10" s="8" t="s">
        <v>81</v>
      </c>
      <c r="D10" s="8" t="s">
        <v>50</v>
      </c>
      <c r="E10" s="61"/>
    </row>
    <row r="11" spans="1:5" x14ac:dyDescent="0.2">
      <c r="A11" s="1">
        <v>0.65</v>
      </c>
      <c r="B11" s="7">
        <v>0.55000000000000004</v>
      </c>
      <c r="C11" s="8" t="s">
        <v>19</v>
      </c>
      <c r="D11" s="8" t="s">
        <v>51</v>
      </c>
      <c r="E11" s="61"/>
    </row>
    <row r="12" spans="1:5" x14ac:dyDescent="0.2">
      <c r="A12" s="1">
        <v>0.2</v>
      </c>
      <c r="B12" s="7">
        <v>0.15</v>
      </c>
      <c r="C12" s="8" t="s">
        <v>10</v>
      </c>
      <c r="D12" s="8" t="s">
        <v>52</v>
      </c>
      <c r="E12" s="61"/>
    </row>
    <row r="13" spans="1:5" x14ac:dyDescent="0.2">
      <c r="A13" s="1">
        <v>0.7</v>
      </c>
      <c r="B13" s="19">
        <v>0.7</v>
      </c>
      <c r="C13" s="8" t="s">
        <v>3</v>
      </c>
      <c r="D13" s="8" t="s">
        <v>53</v>
      </c>
      <c r="E13" s="61"/>
    </row>
    <row r="14" spans="1:5" x14ac:dyDescent="0.2">
      <c r="A14" s="1">
        <v>0.5</v>
      </c>
      <c r="B14" s="19">
        <v>0.5</v>
      </c>
      <c r="C14" s="8" t="s">
        <v>4</v>
      </c>
      <c r="D14" s="8" t="s">
        <v>54</v>
      </c>
      <c r="E14" s="61"/>
    </row>
    <row r="15" spans="1:5" x14ac:dyDescent="0.2">
      <c r="A15" s="1">
        <v>0.75</v>
      </c>
      <c r="B15" s="19">
        <v>0.75</v>
      </c>
      <c r="C15" s="8" t="s">
        <v>75</v>
      </c>
      <c r="D15" s="8" t="s">
        <v>76</v>
      </c>
      <c r="E15" s="61"/>
    </row>
    <row r="16" spans="1:5" ht="17" thickBot="1" x14ac:dyDescent="0.25">
      <c r="A16" s="24">
        <v>0.2</v>
      </c>
      <c r="B16" s="21">
        <v>0.2</v>
      </c>
      <c r="C16" s="8" t="s">
        <v>59</v>
      </c>
      <c r="D16" s="8" t="s">
        <v>58</v>
      </c>
      <c r="E16" s="61"/>
    </row>
    <row r="17" spans="1:5" ht="17" thickBot="1" x14ac:dyDescent="0.25">
      <c r="A17" s="466" t="s">
        <v>70</v>
      </c>
      <c r="B17" s="467"/>
      <c r="C17" s="467"/>
      <c r="D17" s="468"/>
      <c r="E17" s="61"/>
    </row>
    <row r="18" spans="1:5" x14ac:dyDescent="0.2">
      <c r="A18" s="74">
        <v>2</v>
      </c>
      <c r="B18" s="75">
        <v>2</v>
      </c>
      <c r="C18" s="29" t="s">
        <v>23</v>
      </c>
      <c r="D18" s="29" t="s">
        <v>62</v>
      </c>
      <c r="E18" s="61"/>
    </row>
    <row r="19" spans="1:5" x14ac:dyDescent="0.2">
      <c r="A19" s="72">
        <v>3</v>
      </c>
      <c r="B19" s="73">
        <v>3</v>
      </c>
      <c r="C19" s="8" t="s">
        <v>44</v>
      </c>
      <c r="D19" s="8" t="s">
        <v>66</v>
      </c>
      <c r="E19" s="61"/>
    </row>
    <row r="20" spans="1:5" x14ac:dyDescent="0.2">
      <c r="A20" s="51">
        <v>5</v>
      </c>
      <c r="B20" s="52">
        <v>5</v>
      </c>
      <c r="C20" s="8" t="s">
        <v>40</v>
      </c>
      <c r="D20" s="8" t="s">
        <v>41</v>
      </c>
      <c r="E20" s="61"/>
    </row>
    <row r="21" spans="1:5" x14ac:dyDescent="0.2">
      <c r="A21" s="51">
        <v>2</v>
      </c>
      <c r="B21" s="52">
        <v>3</v>
      </c>
      <c r="C21" s="8" t="s">
        <v>39</v>
      </c>
      <c r="D21" s="8" t="s">
        <v>64</v>
      </c>
      <c r="E21" s="61"/>
    </row>
    <row r="22" spans="1:5" x14ac:dyDescent="0.2">
      <c r="A22" s="18">
        <v>0.05</v>
      </c>
      <c r="B22" s="20">
        <v>7.4999999999999997E-2</v>
      </c>
      <c r="C22" s="8" t="s">
        <v>14</v>
      </c>
      <c r="D22" s="8" t="s">
        <v>55</v>
      </c>
      <c r="E22" s="61"/>
    </row>
    <row r="23" spans="1:5" x14ac:dyDescent="0.2">
      <c r="A23" s="24">
        <v>0.1</v>
      </c>
      <c r="B23" s="21">
        <v>0.1</v>
      </c>
      <c r="C23" s="8" t="s">
        <v>17</v>
      </c>
      <c r="D23" s="8" t="s">
        <v>57</v>
      </c>
      <c r="E23" s="61"/>
    </row>
    <row r="24" spans="1:5" x14ac:dyDescent="0.2">
      <c r="A24" s="58">
        <v>0.05</v>
      </c>
      <c r="B24" s="19">
        <v>0.05</v>
      </c>
      <c r="C24" s="8" t="s">
        <v>42</v>
      </c>
      <c r="D24" s="8" t="s">
        <v>65</v>
      </c>
      <c r="E24" s="61"/>
    </row>
    <row r="25" spans="1:5" x14ac:dyDescent="0.2">
      <c r="A25" s="413">
        <v>25</v>
      </c>
      <c r="B25" s="416">
        <v>50</v>
      </c>
      <c r="C25" s="8" t="s">
        <v>22</v>
      </c>
      <c r="D25" s="8" t="s">
        <v>61</v>
      </c>
      <c r="E25" s="61"/>
    </row>
    <row r="26" spans="1:5" x14ac:dyDescent="0.2">
      <c r="A26" s="413">
        <v>5</v>
      </c>
      <c r="B26" s="416">
        <v>10</v>
      </c>
      <c r="C26" s="8" t="s">
        <v>72</v>
      </c>
      <c r="D26" s="8" t="s">
        <v>265</v>
      </c>
      <c r="E26" s="61"/>
    </row>
    <row r="27" spans="1:5" ht="17" thickBot="1" x14ac:dyDescent="0.25">
      <c r="A27" s="414">
        <v>2000</v>
      </c>
      <c r="B27" s="417">
        <v>1000</v>
      </c>
      <c r="C27" s="26" t="s">
        <v>73</v>
      </c>
      <c r="D27" s="26" t="s">
        <v>43</v>
      </c>
      <c r="E27" s="61"/>
    </row>
    <row r="28" spans="1:5" ht="17" thickBot="1" x14ac:dyDescent="0.25">
      <c r="A28" s="469" t="s">
        <v>67</v>
      </c>
      <c r="B28" s="470"/>
      <c r="C28" s="470"/>
      <c r="D28" s="471"/>
      <c r="E28" s="61"/>
    </row>
    <row r="29" spans="1:5" x14ac:dyDescent="0.2">
      <c r="A29" s="415">
        <v>50</v>
      </c>
      <c r="B29" s="418">
        <v>50</v>
      </c>
      <c r="C29" s="29" t="s">
        <v>78</v>
      </c>
      <c r="D29" s="29" t="s">
        <v>77</v>
      </c>
      <c r="E29" s="61"/>
    </row>
    <row r="30" spans="1:5" x14ac:dyDescent="0.2">
      <c r="A30" s="57">
        <v>0.2</v>
      </c>
      <c r="B30" s="56">
        <v>0.2</v>
      </c>
      <c r="C30" s="8" t="s">
        <v>83</v>
      </c>
      <c r="D30" s="8" t="s">
        <v>84</v>
      </c>
      <c r="E30" s="61"/>
    </row>
    <row r="31" spans="1:5" x14ac:dyDescent="0.2">
      <c r="A31" s="413">
        <v>200</v>
      </c>
      <c r="B31" s="416">
        <v>250</v>
      </c>
      <c r="C31" s="8" t="s">
        <v>80</v>
      </c>
      <c r="D31" s="8" t="s">
        <v>79</v>
      </c>
      <c r="E31" s="61"/>
    </row>
    <row r="32" spans="1:5" ht="17" thickBot="1" x14ac:dyDescent="0.25">
      <c r="A32" s="25">
        <v>4</v>
      </c>
      <c r="B32" s="23">
        <v>2</v>
      </c>
      <c r="C32" s="8" t="s">
        <v>37</v>
      </c>
      <c r="D32" s="8" t="s">
        <v>63</v>
      </c>
    </row>
    <row r="33" spans="1:5" ht="17" thickBot="1" x14ac:dyDescent="0.25">
      <c r="A33" s="469" t="s">
        <v>115</v>
      </c>
      <c r="B33" s="470"/>
      <c r="C33" s="470"/>
      <c r="D33" s="471"/>
      <c r="E33" s="61"/>
    </row>
    <row r="34" spans="1:5" x14ac:dyDescent="0.2">
      <c r="A34" s="415">
        <v>40</v>
      </c>
      <c r="B34" s="418">
        <v>40</v>
      </c>
      <c r="C34" s="29" t="s">
        <v>151</v>
      </c>
      <c r="D34" s="29" t="s">
        <v>116</v>
      </c>
      <c r="E34" s="61"/>
    </row>
    <row r="35" spans="1:5" x14ac:dyDescent="0.2">
      <c r="A35" s="413">
        <v>40</v>
      </c>
      <c r="B35" s="416">
        <v>40</v>
      </c>
      <c r="C35" s="8" t="s">
        <v>152</v>
      </c>
      <c r="D35" s="8" t="s">
        <v>147</v>
      </c>
      <c r="E35" s="61"/>
    </row>
    <row r="36" spans="1:5" x14ac:dyDescent="0.2">
      <c r="A36" s="413">
        <v>40</v>
      </c>
      <c r="B36" s="416">
        <v>40</v>
      </c>
      <c r="C36" s="8" t="s">
        <v>153</v>
      </c>
      <c r="D36" s="8" t="s">
        <v>148</v>
      </c>
      <c r="E36" s="61"/>
    </row>
    <row r="37" spans="1:5" x14ac:dyDescent="0.2">
      <c r="A37" s="57">
        <v>0.32</v>
      </c>
      <c r="B37" s="56">
        <v>0.32</v>
      </c>
      <c r="C37" s="8" t="s">
        <v>121</v>
      </c>
      <c r="D37" s="8" t="s">
        <v>122</v>
      </c>
      <c r="E37" s="61"/>
    </row>
    <row r="38" spans="1:5" x14ac:dyDescent="0.2">
      <c r="A38" s="413">
        <v>200</v>
      </c>
      <c r="B38" s="416">
        <v>250</v>
      </c>
      <c r="C38" s="8" t="s">
        <v>80</v>
      </c>
      <c r="D38" s="8" t="s">
        <v>79</v>
      </c>
      <c r="E38" s="61"/>
    </row>
    <row r="39" spans="1:5" x14ac:dyDescent="0.2">
      <c r="A39" s="25">
        <v>2.5</v>
      </c>
      <c r="B39" s="23">
        <v>2</v>
      </c>
      <c r="C39" s="8" t="s">
        <v>37</v>
      </c>
      <c r="D39" s="8" t="s">
        <v>63</v>
      </c>
    </row>
    <row r="40" spans="1:5" ht="17" thickBot="1" x14ac:dyDescent="0.25">
      <c r="A40" s="59">
        <f>B40</f>
        <v>160</v>
      </c>
      <c r="B40" s="60">
        <f>B39*B34+B38*B37</f>
        <v>160</v>
      </c>
      <c r="C40" s="26" t="s">
        <v>82</v>
      </c>
      <c r="D40" s="26" t="s">
        <v>60</v>
      </c>
    </row>
    <row r="41" spans="1:5" ht="17" thickBot="1" x14ac:dyDescent="0.25">
      <c r="A41" s="55"/>
      <c r="B41" s="14"/>
    </row>
    <row r="42" spans="1:5" ht="17" thickBot="1" x14ac:dyDescent="0.25">
      <c r="A42" s="469" t="s">
        <v>216</v>
      </c>
      <c r="B42" s="470"/>
      <c r="C42" s="470"/>
      <c r="D42" s="471"/>
      <c r="E42" s="61"/>
    </row>
    <row r="43" spans="1:5" x14ac:dyDescent="0.2">
      <c r="A43" s="124">
        <v>24</v>
      </c>
      <c r="B43" s="186">
        <v>24</v>
      </c>
      <c r="C43" s="29" t="s">
        <v>215</v>
      </c>
      <c r="D43" s="29" t="s">
        <v>214</v>
      </c>
      <c r="E43" s="61"/>
    </row>
    <row r="44" spans="1:5" x14ac:dyDescent="0.2">
      <c r="A44" s="187">
        <v>18</v>
      </c>
      <c r="B44" s="188">
        <v>18</v>
      </c>
      <c r="C44" s="8" t="s">
        <v>218</v>
      </c>
      <c r="D44" s="8" t="s">
        <v>217</v>
      </c>
      <c r="E44" s="61"/>
    </row>
    <row r="45" spans="1:5" x14ac:dyDescent="0.2">
      <c r="A45" s="189">
        <v>12</v>
      </c>
      <c r="B45" s="188">
        <v>12</v>
      </c>
      <c r="C45" s="8" t="s">
        <v>219</v>
      </c>
      <c r="D45" s="8" t="s">
        <v>220</v>
      </c>
      <c r="E45" s="61"/>
    </row>
    <row r="46" spans="1:5" x14ac:dyDescent="0.2">
      <c r="A46" s="189">
        <v>3</v>
      </c>
      <c r="B46" s="188">
        <v>3</v>
      </c>
      <c r="C46" s="8" t="s">
        <v>221</v>
      </c>
      <c r="D46" s="8" t="s">
        <v>222</v>
      </c>
      <c r="E46" s="61"/>
    </row>
    <row r="47" spans="1:5" x14ac:dyDescent="0.2">
      <c r="A47" s="58">
        <v>0.75</v>
      </c>
      <c r="B47" s="19">
        <v>0.75</v>
      </c>
      <c r="C47" s="8" t="s">
        <v>223</v>
      </c>
      <c r="D47" s="8" t="s">
        <v>224</v>
      </c>
    </row>
    <row r="48" spans="1:5" ht="17" thickBot="1" x14ac:dyDescent="0.25">
      <c r="A48" s="59"/>
      <c r="B48" s="60"/>
      <c r="C48" s="26"/>
      <c r="D48" s="26"/>
    </row>
    <row r="49" spans="1:5" x14ac:dyDescent="0.2">
      <c r="A49" s="55"/>
      <c r="B49" s="14"/>
      <c r="E49" s="61"/>
    </row>
    <row r="50" spans="1:5" x14ac:dyDescent="0.2">
      <c r="A50" s="55"/>
      <c r="B50" s="14"/>
      <c r="E50" s="61"/>
    </row>
    <row r="51" spans="1:5" x14ac:dyDescent="0.2">
      <c r="A51" s="55"/>
      <c r="B51" s="14"/>
      <c r="E51" s="61"/>
    </row>
    <row r="53" spans="1:5" ht="16" customHeight="1" x14ac:dyDescent="0.2">
      <c r="A53" s="458" t="str">
        <f>"Version Control  -  Current Version:  "&amp;(MAX(B56:B82))</f>
        <v>Version Control  -  Current Version:  3.4</v>
      </c>
      <c r="B53" s="459"/>
      <c r="C53" s="459"/>
      <c r="D53" s="459"/>
    </row>
    <row r="54" spans="1:5" ht="17" customHeight="1" thickBot="1" x14ac:dyDescent="0.25">
      <c r="A54" s="458"/>
      <c r="B54" s="459"/>
      <c r="C54" s="459"/>
      <c r="D54" s="459"/>
    </row>
    <row r="55" spans="1:5" ht="17" thickBot="1" x14ac:dyDescent="0.25">
      <c r="A55" s="27" t="s">
        <v>24</v>
      </c>
      <c r="B55" s="27" t="s">
        <v>28</v>
      </c>
      <c r="C55" s="27" t="s">
        <v>2</v>
      </c>
      <c r="D55" s="27" t="s">
        <v>25</v>
      </c>
    </row>
    <row r="56" spans="1:5" x14ac:dyDescent="0.2">
      <c r="A56" s="31">
        <v>44726</v>
      </c>
      <c r="B56" s="32">
        <v>1</v>
      </c>
      <c r="C56" s="29" t="s">
        <v>27</v>
      </c>
      <c r="D56" s="29" t="s">
        <v>26</v>
      </c>
    </row>
    <row r="57" spans="1:5" x14ac:dyDescent="0.2">
      <c r="A57" s="28">
        <v>44777</v>
      </c>
      <c r="B57" s="30">
        <v>1.1000000000000001</v>
      </c>
      <c r="C57" s="8" t="s">
        <v>29</v>
      </c>
      <c r="D57" s="8" t="s">
        <v>26</v>
      </c>
    </row>
    <row r="58" spans="1:5" x14ac:dyDescent="0.2">
      <c r="A58" s="28">
        <v>44791</v>
      </c>
      <c r="B58" s="30">
        <v>1.2</v>
      </c>
      <c r="C58" s="8" t="s">
        <v>30</v>
      </c>
      <c r="D58" s="8" t="s">
        <v>26</v>
      </c>
    </row>
    <row r="59" spans="1:5" x14ac:dyDescent="0.2">
      <c r="A59" s="28">
        <v>44802</v>
      </c>
      <c r="B59" s="30">
        <v>2</v>
      </c>
      <c r="C59" s="8" t="s">
        <v>74</v>
      </c>
      <c r="D59" s="8" t="s">
        <v>26</v>
      </c>
    </row>
    <row r="60" spans="1:5" x14ac:dyDescent="0.2">
      <c r="A60" s="28">
        <v>44806</v>
      </c>
      <c r="B60" s="30">
        <v>2.1</v>
      </c>
      <c r="C60" s="8" t="s">
        <v>97</v>
      </c>
      <c r="D60" s="8" t="s">
        <v>26</v>
      </c>
    </row>
    <row r="61" spans="1:5" x14ac:dyDescent="0.2">
      <c r="A61" s="28">
        <v>44815</v>
      </c>
      <c r="B61" s="30">
        <v>2.2000000000000002</v>
      </c>
      <c r="C61" s="8" t="s">
        <v>150</v>
      </c>
      <c r="D61" s="8" t="s">
        <v>26</v>
      </c>
    </row>
    <row r="62" spans="1:5" x14ac:dyDescent="0.2">
      <c r="A62" s="28">
        <v>44827</v>
      </c>
      <c r="B62" s="30">
        <v>2.2999999999999998</v>
      </c>
      <c r="C62" s="8" t="s">
        <v>162</v>
      </c>
      <c r="D62" s="8" t="s">
        <v>26</v>
      </c>
    </row>
    <row r="63" spans="1:5" x14ac:dyDescent="0.2">
      <c r="A63" s="28">
        <v>44861</v>
      </c>
      <c r="B63" s="30">
        <v>2.4</v>
      </c>
      <c r="C63" s="8" t="s">
        <v>275</v>
      </c>
      <c r="D63" s="8" t="s">
        <v>26</v>
      </c>
    </row>
    <row r="64" spans="1:5" x14ac:dyDescent="0.2">
      <c r="A64" s="28">
        <v>44897</v>
      </c>
      <c r="B64" s="30">
        <v>2.5</v>
      </c>
      <c r="C64" s="8" t="s">
        <v>281</v>
      </c>
      <c r="D64" s="8" t="s">
        <v>26</v>
      </c>
    </row>
    <row r="65" spans="1:4" x14ac:dyDescent="0.2">
      <c r="A65" s="28">
        <v>44987</v>
      </c>
      <c r="B65" s="30">
        <v>3.1</v>
      </c>
      <c r="C65" s="8" t="s">
        <v>283</v>
      </c>
      <c r="D65" s="8" t="s">
        <v>26</v>
      </c>
    </row>
    <row r="66" spans="1:4" x14ac:dyDescent="0.2">
      <c r="A66" s="28">
        <v>45005</v>
      </c>
      <c r="B66" s="30">
        <v>3.2</v>
      </c>
      <c r="C66" s="8" t="s">
        <v>284</v>
      </c>
      <c r="D66" s="8" t="s">
        <v>26</v>
      </c>
    </row>
    <row r="67" spans="1:4" x14ac:dyDescent="0.2">
      <c r="A67" s="28">
        <v>45064</v>
      </c>
      <c r="B67" s="30">
        <v>3.3</v>
      </c>
      <c r="C67" s="8" t="s">
        <v>298</v>
      </c>
      <c r="D67" s="8" t="s">
        <v>318</v>
      </c>
    </row>
    <row r="68" spans="1:4" x14ac:dyDescent="0.2">
      <c r="A68" s="28">
        <v>45153</v>
      </c>
      <c r="B68" s="30">
        <v>3.4</v>
      </c>
      <c r="C68" s="8" t="s">
        <v>328</v>
      </c>
      <c r="D68" s="8" t="s">
        <v>329</v>
      </c>
    </row>
    <row r="69" spans="1:4" x14ac:dyDescent="0.2">
      <c r="A69" s="8"/>
      <c r="B69" s="8"/>
      <c r="C69" s="8"/>
      <c r="D69" s="8"/>
    </row>
    <row r="70" spans="1:4" x14ac:dyDescent="0.2">
      <c r="A70" s="8"/>
      <c r="B70" s="8"/>
      <c r="C70" s="8"/>
      <c r="D70" s="8"/>
    </row>
    <row r="71" spans="1:4" x14ac:dyDescent="0.2">
      <c r="A71" s="8"/>
      <c r="B71" s="8"/>
      <c r="C71" s="8"/>
      <c r="D71" s="8"/>
    </row>
    <row r="72" spans="1:4" x14ac:dyDescent="0.2">
      <c r="A72" s="8"/>
      <c r="B72" s="8"/>
      <c r="C72" s="8"/>
      <c r="D72" s="8"/>
    </row>
    <row r="73" spans="1:4" x14ac:dyDescent="0.2">
      <c r="A73" s="8"/>
      <c r="B73" s="8"/>
      <c r="C73" s="8"/>
      <c r="D73" s="8"/>
    </row>
    <row r="74" spans="1:4" x14ac:dyDescent="0.2">
      <c r="A74" s="8"/>
      <c r="B74" s="8"/>
      <c r="C74" s="8"/>
      <c r="D74" s="8"/>
    </row>
    <row r="75" spans="1:4" x14ac:dyDescent="0.2">
      <c r="A75" s="8"/>
      <c r="B75" s="8"/>
      <c r="C75" s="8"/>
      <c r="D75" s="8"/>
    </row>
    <row r="76" spans="1:4" x14ac:dyDescent="0.2">
      <c r="A76" s="8"/>
      <c r="B76" s="8"/>
      <c r="C76" s="8"/>
      <c r="D76" s="8"/>
    </row>
    <row r="77" spans="1:4" x14ac:dyDescent="0.2">
      <c r="A77" s="8"/>
      <c r="B77" s="8"/>
      <c r="C77" s="8"/>
      <c r="D77" s="8"/>
    </row>
    <row r="78" spans="1:4" x14ac:dyDescent="0.2">
      <c r="A78" s="8"/>
      <c r="B78" s="8"/>
      <c r="C78" s="8"/>
      <c r="D78" s="8"/>
    </row>
    <row r="79" spans="1:4" x14ac:dyDescent="0.2">
      <c r="A79" s="8"/>
      <c r="B79" s="8"/>
      <c r="C79" s="8"/>
      <c r="D79" s="8"/>
    </row>
    <row r="80" spans="1:4" x14ac:dyDescent="0.2">
      <c r="A80" s="8"/>
      <c r="B80" s="8"/>
      <c r="C80" s="8"/>
      <c r="D80" s="8"/>
    </row>
    <row r="81" spans="1:4" x14ac:dyDescent="0.2">
      <c r="A81" s="8"/>
      <c r="B81" s="8"/>
      <c r="C81" s="8"/>
      <c r="D81" s="8"/>
    </row>
    <row r="82" spans="1:4" ht="17" thickBot="1" x14ac:dyDescent="0.25">
      <c r="A82" s="26"/>
      <c r="B82" s="26"/>
      <c r="C82" s="26"/>
      <c r="D82" s="26"/>
    </row>
  </sheetData>
  <sheetProtection formatColumns="0" selectLockedCells="1"/>
  <mergeCells count="8">
    <mergeCell ref="A1:D2"/>
    <mergeCell ref="A53:D54"/>
    <mergeCell ref="A4:D4"/>
    <mergeCell ref="A9:D9"/>
    <mergeCell ref="A17:D17"/>
    <mergeCell ref="A28:D28"/>
    <mergeCell ref="A33:D33"/>
    <mergeCell ref="A42:D42"/>
  </mergeCells>
  <pageMargins left="0.7" right="0.7" top="0.75" bottom="0.75" header="0.3" footer="0.3"/>
  <pageSetup orientation="portrait" r:id="rId1"/>
  <headerFooter>
    <oddFooter>&amp;C&amp;1#&amp;"Calibri"&amp;7&amp;K000000Juniper Business Use Only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8FE8D-0AE9-4A4D-A4FF-FB5FBBA953F5}">
  <sheetPr codeName="Sheet5"/>
  <dimension ref="A1:W33"/>
  <sheetViews>
    <sheetView zoomScale="177" zoomScaleNormal="177" workbookViewId="0">
      <selection activeCell="E32" sqref="E32"/>
    </sheetView>
  </sheetViews>
  <sheetFormatPr baseColWidth="10" defaultColWidth="11" defaultRowHeight="16" x14ac:dyDescent="0.2"/>
  <cols>
    <col min="1" max="1" width="27.5" customWidth="1"/>
    <col min="2" max="2" width="20.83203125" style="279" customWidth="1"/>
    <col min="3" max="3" width="20.83203125" customWidth="1"/>
    <col min="4" max="4" width="20.83203125" style="279" customWidth="1"/>
    <col min="5" max="5" width="14" bestFit="1" customWidth="1"/>
    <col min="6" max="7" width="20.83203125" customWidth="1"/>
    <col min="8" max="9" width="14" bestFit="1" customWidth="1"/>
  </cols>
  <sheetData>
    <row r="1" spans="1:23" x14ac:dyDescent="0.2">
      <c r="A1" s="423" t="s">
        <v>276</v>
      </c>
      <c r="B1" s="423"/>
      <c r="C1" s="423"/>
      <c r="D1" s="423"/>
      <c r="E1" s="423"/>
      <c r="F1" s="423"/>
      <c r="G1" s="423"/>
      <c r="H1" s="423"/>
    </row>
    <row r="2" spans="1:23" x14ac:dyDescent="0.2">
      <c r="B2" s="46" t="str">
        <f>'Forrester TCO'!$D$5&amp;" Resell"</f>
        <v>Compettitor Resell</v>
      </c>
      <c r="C2" s="46" t="str">
        <f>'Forrester TCO'!$D$5&amp;" Managed"</f>
        <v>Compettitor Managed</v>
      </c>
      <c r="D2" s="46" t="str">
        <f>'Forrester TCO'!$D$5&amp;" NaaS"</f>
        <v>Compettitor NaaS</v>
      </c>
      <c r="E2" s="12" t="s">
        <v>160</v>
      </c>
      <c r="F2" s="47" t="s">
        <v>20</v>
      </c>
      <c r="G2" s="47" t="s">
        <v>31</v>
      </c>
      <c r="H2" s="47" t="s">
        <v>21</v>
      </c>
    </row>
    <row r="3" spans="1:23" x14ac:dyDescent="0.2">
      <c r="A3" t="s">
        <v>13</v>
      </c>
      <c r="B3" s="341">
        <f>'Forrester TCO'!D6</f>
        <v>100000</v>
      </c>
      <c r="C3" s="222">
        <f>B3</f>
        <v>100000</v>
      </c>
      <c r="D3"/>
      <c r="F3" s="341">
        <f>'Forrester TCO'!C6</f>
        <v>100000</v>
      </c>
      <c r="G3" s="222">
        <f>F3</f>
        <v>100000</v>
      </c>
      <c r="H3" s="341">
        <v>0</v>
      </c>
    </row>
    <row r="4" spans="1:23" x14ac:dyDescent="0.2">
      <c r="A4" t="s">
        <v>14</v>
      </c>
      <c r="B4" s="341">
        <f>'Forrester TCO'!$D$7</f>
        <v>15762.500000000015</v>
      </c>
      <c r="C4" s="341">
        <f>'Forrester TCO'!$D$7</f>
        <v>15762.500000000015</v>
      </c>
      <c r="D4" s="341"/>
      <c r="F4" s="341">
        <f>'Forrester TCO'!$C$7</f>
        <v>15762.500000000015</v>
      </c>
      <c r="G4" s="341">
        <f>'Forrester TCO'!$C$7</f>
        <v>15762.500000000015</v>
      </c>
      <c r="H4" s="341"/>
    </row>
    <row r="5" spans="1:23" x14ac:dyDescent="0.2">
      <c r="A5" t="s">
        <v>15</v>
      </c>
      <c r="B5" s="341">
        <f>B3*EduPct</f>
        <v>10000</v>
      </c>
      <c r="C5" s="341">
        <v>0</v>
      </c>
      <c r="D5"/>
      <c r="F5" s="341">
        <f>F3*EduPct</f>
        <v>10000</v>
      </c>
      <c r="G5" s="341">
        <v>0</v>
      </c>
      <c r="H5" s="341">
        <v>0</v>
      </c>
    </row>
    <row r="6" spans="1:23" x14ac:dyDescent="0.2">
      <c r="A6" t="s">
        <v>6</v>
      </c>
      <c r="B6" s="341">
        <f>'Forrester TCO'!D15*(1+CustInstall)</f>
        <v>36250</v>
      </c>
      <c r="C6" s="341">
        <f>'Forrester TCO'!D15</f>
        <v>25000</v>
      </c>
      <c r="D6"/>
      <c r="F6" s="341">
        <f>'Forrester TCO'!C15*(1+CustInstall)</f>
        <v>18125</v>
      </c>
      <c r="G6" s="341">
        <f>'Forrester TCO'!C15</f>
        <v>12500</v>
      </c>
      <c r="H6" s="341">
        <v>0</v>
      </c>
    </row>
    <row r="7" spans="1:23" x14ac:dyDescent="0.2">
      <c r="A7" t="s">
        <v>8</v>
      </c>
      <c r="B7" s="341">
        <f>'Forrester TCO'!D24*(1+CustMgmt)</f>
        <v>148500</v>
      </c>
      <c r="C7" s="341">
        <f>'Forrester TCO'!D24</f>
        <v>90000</v>
      </c>
      <c r="D7" s="15">
        <f>(('Forrester TCO'!$D$6*(1-NaaSPct))+C6+C7)</f>
        <v>195000</v>
      </c>
      <c r="E7" s="222">
        <f>B7</f>
        <v>148500</v>
      </c>
      <c r="F7" s="341">
        <f>'Forrester TCO'!C24*(1+CustMgmt)</f>
        <v>20047.500000000004</v>
      </c>
      <c r="G7" s="341">
        <f>'Forrester TCO'!C24</f>
        <v>12150.000000000004</v>
      </c>
      <c r="H7" s="222">
        <f>(('Forrester TCO'!$C$6*(1-NaaSPct))+G6+G7)</f>
        <v>104650</v>
      </c>
    </row>
    <row r="8" spans="1:23" x14ac:dyDescent="0.2">
      <c r="A8" t="s">
        <v>159</v>
      </c>
      <c r="B8" s="341">
        <f>'Forrester TCO'!$D$47</f>
        <v>211500</v>
      </c>
      <c r="C8" s="341">
        <f>'Forrester TCO'!$D$47</f>
        <v>211500</v>
      </c>
      <c r="D8" s="341">
        <f>'Forrester TCO'!$D$47</f>
        <v>211500</v>
      </c>
      <c r="E8" s="222">
        <f>B8</f>
        <v>211500</v>
      </c>
      <c r="F8" s="341">
        <f>'Forrester TCO'!$C$47</f>
        <v>41625.000000000015</v>
      </c>
      <c r="G8" s="341">
        <f>'Forrester TCO'!$C$47</f>
        <v>41625.000000000015</v>
      </c>
      <c r="H8" s="341">
        <f>'Forrester TCO'!$C$47</f>
        <v>41625.000000000015</v>
      </c>
    </row>
    <row r="9" spans="1:23" x14ac:dyDescent="0.2">
      <c r="A9" t="s">
        <v>45</v>
      </c>
      <c r="B9" s="341">
        <f>'Forrester TCO'!$D$56</f>
        <v>0</v>
      </c>
      <c r="C9" s="341">
        <f>'Forrester TCO'!$D$56</f>
        <v>0</v>
      </c>
      <c r="D9" s="341">
        <f>'Forrester TCO'!$D$56</f>
        <v>0</v>
      </c>
      <c r="E9" s="222">
        <f>B9</f>
        <v>0</v>
      </c>
      <c r="F9" s="341">
        <f>'Forrester TCO'!$C$56</f>
        <v>0</v>
      </c>
      <c r="G9" s="341">
        <f>'Forrester TCO'!$C$56</f>
        <v>0</v>
      </c>
      <c r="H9" s="341">
        <f>'Forrester TCO'!$C$56</f>
        <v>0</v>
      </c>
    </row>
    <row r="10" spans="1:23" x14ac:dyDescent="0.2">
      <c r="A10" t="s">
        <v>12</v>
      </c>
      <c r="B10" s="341">
        <f t="shared" ref="B10:H10" si="0">SUM(B3:B7)</f>
        <v>310512.5</v>
      </c>
      <c r="C10" s="341">
        <f t="shared" si="0"/>
        <v>230762.5</v>
      </c>
      <c r="D10" s="341">
        <f t="shared" si="0"/>
        <v>195000</v>
      </c>
      <c r="E10" s="341">
        <f t="shared" si="0"/>
        <v>148500</v>
      </c>
      <c r="F10" s="341">
        <f t="shared" si="0"/>
        <v>163935</v>
      </c>
      <c r="G10" s="341">
        <f t="shared" si="0"/>
        <v>140412.50000000003</v>
      </c>
      <c r="H10" s="341">
        <f t="shared" si="0"/>
        <v>104650</v>
      </c>
    </row>
    <row r="11" spans="1:23" x14ac:dyDescent="0.2">
      <c r="F11" s="13"/>
      <c r="G11" s="13"/>
    </row>
    <row r="13" spans="1:23" x14ac:dyDescent="0.2">
      <c r="B13" s="12" t="str">
        <f>'Forrester TCO'!D5</f>
        <v>Compettitor</v>
      </c>
      <c r="C13" s="419" t="s">
        <v>5</v>
      </c>
    </row>
    <row r="14" spans="1:23" x14ac:dyDescent="0.2">
      <c r="A14" s="12" t="s">
        <v>277</v>
      </c>
      <c r="B14" s="279">
        <f>'Forrester TCO'!D47</f>
        <v>211500</v>
      </c>
      <c r="C14" s="279">
        <f>'Forrester TCO'!C47</f>
        <v>41625.000000000015</v>
      </c>
      <c r="D14" s="279">
        <f>B14-C14</f>
        <v>169875</v>
      </c>
      <c r="W14" s="17"/>
    </row>
    <row r="15" spans="1:23" x14ac:dyDescent="0.2">
      <c r="A15" s="12" t="s">
        <v>50</v>
      </c>
      <c r="B15" s="279">
        <f>TotCompMgt</f>
        <v>90000</v>
      </c>
      <c r="C15" s="279">
        <f>TotJNPRMgt</f>
        <v>12150.000000000004</v>
      </c>
      <c r="D15" s="279">
        <f>B15-C15</f>
        <v>77850</v>
      </c>
    </row>
    <row r="16" spans="1:23" x14ac:dyDescent="0.2">
      <c r="A16" s="12" t="s">
        <v>6</v>
      </c>
      <c r="B16" s="279">
        <f>'Forrester TCO'!D15</f>
        <v>25000</v>
      </c>
      <c r="C16" s="279">
        <f>'Forrester TCO'!C15</f>
        <v>12500</v>
      </c>
      <c r="D16" s="279">
        <f>B16-C16</f>
        <v>12500</v>
      </c>
    </row>
    <row r="17" spans="1:9" x14ac:dyDescent="0.2">
      <c r="A17" s="12" t="s">
        <v>278</v>
      </c>
      <c r="B17" s="279">
        <f>'Forrester TCO'!D8</f>
        <v>115762.50000000001</v>
      </c>
      <c r="C17" s="279">
        <f>'Forrester TCO'!C8</f>
        <v>115762.50000000001</v>
      </c>
    </row>
    <row r="18" spans="1:9" x14ac:dyDescent="0.2">
      <c r="A18" s="217"/>
    </row>
    <row r="19" spans="1:9" x14ac:dyDescent="0.2">
      <c r="A19" s="217"/>
      <c r="E19" s="12" t="s">
        <v>160</v>
      </c>
      <c r="F19" s="12" t="s">
        <v>286</v>
      </c>
      <c r="G19" s="12" t="s">
        <v>287</v>
      </c>
      <c r="H19" s="12" t="s">
        <v>288</v>
      </c>
    </row>
    <row r="20" spans="1:9" x14ac:dyDescent="0.2">
      <c r="C20" s="279"/>
      <c r="D20" s="12" t="s">
        <v>13</v>
      </c>
      <c r="E20" s="279">
        <f>E3</f>
        <v>0</v>
      </c>
      <c r="F20" s="279">
        <f>F3</f>
        <v>100000</v>
      </c>
      <c r="G20" s="279">
        <f>G3</f>
        <v>100000</v>
      </c>
      <c r="H20" s="279">
        <f>H3</f>
        <v>0</v>
      </c>
    </row>
    <row r="21" spans="1:9" x14ac:dyDescent="0.2">
      <c r="C21" s="279"/>
      <c r="D21" s="12" t="s">
        <v>14</v>
      </c>
      <c r="E21" s="279">
        <f t="shared" ref="E21:H26" si="1">E4</f>
        <v>0</v>
      </c>
      <c r="F21" s="279">
        <f t="shared" si="1"/>
        <v>15762.500000000015</v>
      </c>
      <c r="G21" s="279">
        <f t="shared" si="1"/>
        <v>15762.500000000015</v>
      </c>
      <c r="H21" s="279">
        <f t="shared" si="1"/>
        <v>0</v>
      </c>
    </row>
    <row r="22" spans="1:9" x14ac:dyDescent="0.2">
      <c r="C22" s="279"/>
      <c r="D22" s="12" t="s">
        <v>15</v>
      </c>
      <c r="E22" s="279">
        <f t="shared" si="1"/>
        <v>0</v>
      </c>
      <c r="F22" s="279">
        <f t="shared" si="1"/>
        <v>10000</v>
      </c>
      <c r="G22" s="279">
        <f t="shared" si="1"/>
        <v>0</v>
      </c>
      <c r="H22" s="279">
        <f t="shared" si="1"/>
        <v>0</v>
      </c>
    </row>
    <row r="23" spans="1:9" x14ac:dyDescent="0.2">
      <c r="C23" s="279"/>
      <c r="D23" s="12" t="s">
        <v>6</v>
      </c>
      <c r="E23" s="279">
        <f t="shared" si="1"/>
        <v>0</v>
      </c>
      <c r="F23" s="279">
        <f t="shared" si="1"/>
        <v>18125</v>
      </c>
      <c r="G23" s="279">
        <f t="shared" si="1"/>
        <v>12500</v>
      </c>
      <c r="H23" s="279">
        <f t="shared" si="1"/>
        <v>0</v>
      </c>
    </row>
    <row r="24" spans="1:9" x14ac:dyDescent="0.2">
      <c r="C24" s="279"/>
      <c r="D24" s="12" t="s">
        <v>8</v>
      </c>
      <c r="E24" s="279">
        <f t="shared" si="1"/>
        <v>148500</v>
      </c>
      <c r="F24" s="279">
        <f t="shared" si="1"/>
        <v>20047.500000000004</v>
      </c>
      <c r="G24" s="279">
        <f t="shared" si="1"/>
        <v>12150.000000000004</v>
      </c>
      <c r="H24" s="279">
        <f t="shared" si="1"/>
        <v>104650</v>
      </c>
    </row>
    <row r="25" spans="1:9" x14ac:dyDescent="0.2">
      <c r="C25" s="279"/>
      <c r="D25" s="12" t="s">
        <v>159</v>
      </c>
      <c r="E25" s="279">
        <f t="shared" si="1"/>
        <v>211500</v>
      </c>
      <c r="F25" s="279">
        <f t="shared" si="1"/>
        <v>41625.000000000015</v>
      </c>
      <c r="G25" s="279">
        <f t="shared" si="1"/>
        <v>41625.000000000015</v>
      </c>
      <c r="H25" s="279">
        <f t="shared" si="1"/>
        <v>41625.000000000015</v>
      </c>
    </row>
    <row r="26" spans="1:9" x14ac:dyDescent="0.2">
      <c r="C26" s="279"/>
      <c r="D26" s="12" t="s">
        <v>112</v>
      </c>
      <c r="E26" s="279">
        <f t="shared" si="1"/>
        <v>0</v>
      </c>
      <c r="F26" s="279">
        <f>F20*JHDWMrg</f>
        <v>10000</v>
      </c>
      <c r="G26" s="279">
        <f>(G20*JHDWMrg)+(G23*JIMPMrg)+(G24*JMGTMrg)</f>
        <v>18134.5</v>
      </c>
      <c r="H26" s="279">
        <f>H24*('Monthly Recurring'!E2)</f>
        <v>34534.5</v>
      </c>
      <c r="I26" s="15"/>
    </row>
    <row r="27" spans="1:9" x14ac:dyDescent="0.2">
      <c r="D27" s="12" t="s">
        <v>12</v>
      </c>
      <c r="E27" s="15">
        <f>SUM(E20:E26)</f>
        <v>360000</v>
      </c>
      <c r="F27" s="15">
        <f>SUM(F20:F26)</f>
        <v>215560</v>
      </c>
      <c r="G27" s="15">
        <f>SUM(G20:G26)</f>
        <v>200172.00000000006</v>
      </c>
      <c r="H27" s="15">
        <f>SUM(H20:H26)</f>
        <v>180809.5</v>
      </c>
    </row>
    <row r="28" spans="1:9" x14ac:dyDescent="0.2">
      <c r="D28" s="12" t="s">
        <v>117</v>
      </c>
      <c r="E28" s="293">
        <f>E26/E27</f>
        <v>0</v>
      </c>
      <c r="F28" s="293">
        <f>F26/(F27-F25)</f>
        <v>5.7492741541380399E-2</v>
      </c>
      <c r="G28" s="293">
        <f>G26/(G27-G25)</f>
        <v>0.11437933231155425</v>
      </c>
      <c r="H28" s="293">
        <f>H26/(H27-H25)</f>
        <v>0.24812030075187969</v>
      </c>
    </row>
    <row r="30" spans="1:9" x14ac:dyDescent="0.2">
      <c r="E30" s="12" t="s">
        <v>160</v>
      </c>
      <c r="F30" s="12" t="s">
        <v>286</v>
      </c>
      <c r="G30" s="12" t="s">
        <v>287</v>
      </c>
      <c r="H30" s="12" t="s">
        <v>288</v>
      </c>
    </row>
    <row r="31" spans="1:9" x14ac:dyDescent="0.2">
      <c r="D31" s="419" t="s">
        <v>99</v>
      </c>
      <c r="E31" s="15">
        <f>E27-E25-E26</f>
        <v>148500</v>
      </c>
      <c r="F31" s="15">
        <f>F27-F25-F26</f>
        <v>163935</v>
      </c>
      <c r="G31" s="15">
        <f>G27-G25-G26</f>
        <v>140412.50000000006</v>
      </c>
      <c r="H31" s="15">
        <f>H27-H25-H26</f>
        <v>104650</v>
      </c>
      <c r="I31" s="15"/>
    </row>
    <row r="32" spans="1:9" x14ac:dyDescent="0.2">
      <c r="D32" s="419" t="s">
        <v>112</v>
      </c>
      <c r="E32" s="15">
        <f>E26</f>
        <v>0</v>
      </c>
      <c r="F32" s="15">
        <f>F26</f>
        <v>10000</v>
      </c>
      <c r="G32" s="15">
        <f>G26</f>
        <v>18134.5</v>
      </c>
      <c r="H32" s="15">
        <f>H26</f>
        <v>34534.5</v>
      </c>
      <c r="I32" s="15"/>
    </row>
    <row r="33" spans="4:8" x14ac:dyDescent="0.2">
      <c r="D33" s="419" t="s">
        <v>117</v>
      </c>
      <c r="E33" t="str">
        <f>TEXT(E28,"0.0%")&amp;" GPM"</f>
        <v>0.0% GPM</v>
      </c>
      <c r="F33" t="str">
        <f>TEXT(F28,"0.0%")&amp;" GPM"</f>
        <v>5.7% GPM</v>
      </c>
      <c r="G33" t="str">
        <f>TEXT(G28,"0.0%")&amp;" GPM"</f>
        <v>11.4% GPM</v>
      </c>
      <c r="H33" t="str">
        <f>TEXT(H28,"0.0%")&amp;" GPM"</f>
        <v>24.8% GPM</v>
      </c>
    </row>
  </sheetData>
  <mergeCells count="1">
    <mergeCell ref="A1:H1"/>
  </mergeCells>
  <pageMargins left="0.7" right="0.7" top="0.75" bottom="0.75" header="0.3" footer="0.3"/>
  <pageSetup orientation="portrait" r:id="rId1"/>
  <headerFooter>
    <oddFooter>&amp;C&amp;1#&amp;"Calibri"&amp;7&amp;K000000Juniper Business Use Only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384EA-6281-4046-830C-DE23E6BCF4C5}">
  <sheetPr codeName="Sheet11"/>
  <dimension ref="A1:L56"/>
  <sheetViews>
    <sheetView workbookViewId="0">
      <pane ySplit="10" topLeftCell="A11" activePane="bottomLeft" state="frozen"/>
      <selection activeCell="K8" sqref="K8"/>
      <selection pane="bottomLeft" activeCell="K8" sqref="K8"/>
    </sheetView>
  </sheetViews>
  <sheetFormatPr baseColWidth="10" defaultColWidth="10.83203125" defaultRowHeight="16" x14ac:dyDescent="0.2"/>
  <cols>
    <col min="1" max="1" width="2.33203125" customWidth="1"/>
    <col min="2" max="2" width="43.6640625" bestFit="1" customWidth="1"/>
    <col min="3" max="3" width="12.1640625" customWidth="1"/>
    <col min="4" max="4" width="7.6640625" bestFit="1" customWidth="1"/>
    <col min="5" max="7" width="16.33203125" bestFit="1" customWidth="1"/>
    <col min="8" max="8" width="2.33203125" customWidth="1"/>
    <col min="9" max="9" width="13.33203125" bestFit="1" customWidth="1"/>
    <col min="10" max="10" width="11" customWidth="1"/>
    <col min="11" max="11" width="13.1640625" bestFit="1" customWidth="1"/>
  </cols>
  <sheetData>
    <row r="1" spans="1:10" ht="29" x14ac:dyDescent="0.35">
      <c r="A1" s="34"/>
      <c r="B1" s="474" t="s">
        <v>233</v>
      </c>
      <c r="C1" s="474"/>
      <c r="D1" s="474"/>
      <c r="E1" s="474"/>
      <c r="F1" s="474"/>
      <c r="G1" s="474"/>
      <c r="H1" s="34"/>
    </row>
    <row r="2" spans="1:10" ht="29" x14ac:dyDescent="0.2">
      <c r="A2" s="34"/>
      <c r="B2" s="5"/>
      <c r="C2" s="5"/>
      <c r="D2" s="5"/>
      <c r="E2" s="5"/>
      <c r="F2" s="5"/>
      <c r="G2" s="5"/>
      <c r="H2" s="34"/>
    </row>
    <row r="3" spans="1:10" ht="19" x14ac:dyDescent="0.25">
      <c r="A3" s="9"/>
      <c r="B3" s="141"/>
      <c r="C3" s="142" t="s">
        <v>167</v>
      </c>
      <c r="D3" s="142" t="s">
        <v>168</v>
      </c>
      <c r="E3" s="143" t="s">
        <v>238</v>
      </c>
      <c r="F3" s="143" t="s">
        <v>239</v>
      </c>
      <c r="G3" s="144" t="s">
        <v>169</v>
      </c>
      <c r="H3" s="9"/>
    </row>
    <row r="4" spans="1:10" ht="19" x14ac:dyDescent="0.25">
      <c r="A4" s="9"/>
      <c r="B4" s="145" t="s">
        <v>170</v>
      </c>
      <c r="C4" s="475"/>
      <c r="D4" s="476"/>
      <c r="E4" s="476"/>
      <c r="F4" s="476"/>
      <c r="G4" s="476"/>
      <c r="H4" s="9"/>
    </row>
    <row r="5" spans="1:10" x14ac:dyDescent="0.2">
      <c r="A5" s="9"/>
      <c r="B5" s="202" t="s">
        <v>267</v>
      </c>
      <c r="C5" s="147">
        <v>2</v>
      </c>
      <c r="D5" s="148">
        <v>0.5</v>
      </c>
      <c r="E5" s="148">
        <f>C5-D5</f>
        <v>1.5</v>
      </c>
      <c r="F5" s="225">
        <f>E5*EngCst</f>
        <v>75</v>
      </c>
      <c r="G5" s="226">
        <f>F5*APQty</f>
        <v>37500</v>
      </c>
      <c r="H5" s="9"/>
      <c r="I5" s="149"/>
      <c r="J5" s="150"/>
    </row>
    <row r="6" spans="1:10" x14ac:dyDescent="0.2">
      <c r="A6" s="9"/>
      <c r="B6" s="11" t="s">
        <v>269</v>
      </c>
      <c r="C6" s="147">
        <v>3</v>
      </c>
      <c r="D6" s="148">
        <v>1</v>
      </c>
      <c r="E6" s="148">
        <f>C6-D6</f>
        <v>2</v>
      </c>
      <c r="F6" s="225">
        <f>E6*EngCst</f>
        <v>100</v>
      </c>
      <c r="G6" s="226">
        <f>F6*APQty</f>
        <v>50000</v>
      </c>
      <c r="H6" s="9"/>
      <c r="I6" s="149"/>
      <c r="J6" s="150"/>
    </row>
    <row r="7" spans="1:10" x14ac:dyDescent="0.2">
      <c r="A7" s="9"/>
      <c r="B7" s="11" t="s">
        <v>268</v>
      </c>
      <c r="C7" s="147">
        <v>2.5</v>
      </c>
      <c r="D7" s="148">
        <v>1</v>
      </c>
      <c r="E7" s="148">
        <f>C7-D7</f>
        <v>1.5</v>
      </c>
      <c r="F7" s="225">
        <f>E7*EngCst</f>
        <v>75</v>
      </c>
      <c r="G7" s="226">
        <f>F7*APQty</f>
        <v>37500</v>
      </c>
      <c r="H7" s="9"/>
      <c r="I7" s="149"/>
      <c r="J7" s="150"/>
    </row>
    <row r="8" spans="1:10" x14ac:dyDescent="0.2">
      <c r="A8" s="9"/>
      <c r="B8" s="203" t="s">
        <v>56</v>
      </c>
      <c r="C8" s="151">
        <v>4</v>
      </c>
      <c r="D8" s="152">
        <v>1</v>
      </c>
      <c r="E8" s="152">
        <f>C8-D8</f>
        <v>3</v>
      </c>
      <c r="F8" s="227">
        <f>E8*EngCst</f>
        <v>150</v>
      </c>
      <c r="G8" s="226">
        <f>F8*APQty</f>
        <v>75000</v>
      </c>
      <c r="H8" s="9"/>
      <c r="I8" s="228"/>
      <c r="J8" s="150"/>
    </row>
    <row r="9" spans="1:10" x14ac:dyDescent="0.2">
      <c r="A9" s="9"/>
      <c r="B9" s="9"/>
      <c r="C9" s="9"/>
      <c r="D9" s="9"/>
      <c r="E9" s="9"/>
      <c r="F9" s="9"/>
      <c r="G9" s="9"/>
      <c r="H9" s="9"/>
      <c r="I9" s="153"/>
      <c r="J9" s="150"/>
    </row>
    <row r="10" spans="1:10" ht="19" x14ac:dyDescent="0.25">
      <c r="A10" s="9"/>
      <c r="B10" s="154" t="s">
        <v>172</v>
      </c>
      <c r="C10" s="142" t="s">
        <v>167</v>
      </c>
      <c r="D10" s="142" t="s">
        <v>168</v>
      </c>
      <c r="E10" s="143" t="s">
        <v>238</v>
      </c>
      <c r="F10" s="143" t="s">
        <v>239</v>
      </c>
      <c r="G10" s="155"/>
      <c r="H10" s="9"/>
      <c r="I10" s="153"/>
      <c r="J10" s="229"/>
    </row>
    <row r="11" spans="1:10" x14ac:dyDescent="0.2">
      <c r="A11" s="9"/>
      <c r="B11" s="146" t="s">
        <v>173</v>
      </c>
      <c r="C11" s="156"/>
      <c r="D11" s="156"/>
      <c r="E11" s="156"/>
      <c r="F11" s="230"/>
      <c r="G11" s="231">
        <f>SUM(G12:G33)</f>
        <v>19750</v>
      </c>
      <c r="H11" s="9"/>
      <c r="I11" s="153"/>
      <c r="J11" s="150"/>
    </row>
    <row r="12" spans="1:10" x14ac:dyDescent="0.2">
      <c r="A12" s="9"/>
      <c r="B12" s="198" t="s">
        <v>243</v>
      </c>
      <c r="C12" s="148"/>
      <c r="D12" s="148"/>
      <c r="E12" s="157">
        <v>0.03</v>
      </c>
      <c r="F12" s="232">
        <f>E12*EngCst</f>
        <v>1.5</v>
      </c>
      <c r="G12" s="233">
        <f t="shared" ref="G12:G33" si="0">F12*APQty</f>
        <v>750</v>
      </c>
      <c r="H12" s="9"/>
      <c r="I12" s="149"/>
      <c r="J12" s="150"/>
    </row>
    <row r="13" spans="1:10" x14ac:dyDescent="0.2">
      <c r="A13" s="9"/>
      <c r="B13" s="198" t="s">
        <v>242</v>
      </c>
      <c r="C13" s="148"/>
      <c r="D13" s="148"/>
      <c r="E13" s="157">
        <v>0.04</v>
      </c>
      <c r="F13" s="232">
        <f t="shared" ref="F13:F33" si="1">E13*EngCst</f>
        <v>2</v>
      </c>
      <c r="G13" s="234">
        <f t="shared" si="0"/>
        <v>1000</v>
      </c>
      <c r="H13" s="9"/>
      <c r="I13" s="149"/>
      <c r="J13" s="150"/>
    </row>
    <row r="14" spans="1:10" x14ac:dyDescent="0.2">
      <c r="A14" s="9"/>
      <c r="B14" s="198" t="s">
        <v>244</v>
      </c>
      <c r="C14" s="148"/>
      <c r="D14" s="148"/>
      <c r="E14" s="157">
        <v>0.04</v>
      </c>
      <c r="F14" s="232">
        <f t="shared" si="1"/>
        <v>2</v>
      </c>
      <c r="G14" s="234">
        <f t="shared" si="0"/>
        <v>1000</v>
      </c>
      <c r="H14" s="9"/>
      <c r="I14" s="149"/>
      <c r="J14" s="150"/>
    </row>
    <row r="15" spans="1:10" x14ac:dyDescent="0.2">
      <c r="A15" s="9"/>
      <c r="B15" s="198" t="s">
        <v>245</v>
      </c>
      <c r="C15" s="148"/>
      <c r="D15" s="148"/>
      <c r="E15" s="157">
        <v>0.05</v>
      </c>
      <c r="F15" s="232">
        <f t="shared" si="1"/>
        <v>2.5</v>
      </c>
      <c r="G15" s="234">
        <f t="shared" si="0"/>
        <v>1250</v>
      </c>
      <c r="H15" s="9"/>
      <c r="I15" s="149"/>
      <c r="J15" s="150"/>
    </row>
    <row r="16" spans="1:10" x14ac:dyDescent="0.2">
      <c r="A16" s="9"/>
      <c r="B16" s="198" t="s">
        <v>246</v>
      </c>
      <c r="C16" s="148"/>
      <c r="D16" s="148"/>
      <c r="E16" s="199">
        <v>0.04</v>
      </c>
      <c r="F16" s="232">
        <f t="shared" si="1"/>
        <v>2</v>
      </c>
      <c r="G16" s="234">
        <f t="shared" si="0"/>
        <v>1000</v>
      </c>
      <c r="H16" s="9"/>
      <c r="I16" s="149"/>
      <c r="J16" s="150"/>
    </row>
    <row r="17" spans="1:11" x14ac:dyDescent="0.2">
      <c r="A17" s="9"/>
      <c r="B17" s="198" t="s">
        <v>247</v>
      </c>
      <c r="C17" s="148"/>
      <c r="D17" s="148"/>
      <c r="E17" s="199">
        <v>0.03</v>
      </c>
      <c r="F17" s="232">
        <f t="shared" si="1"/>
        <v>1.5</v>
      </c>
      <c r="G17" s="234">
        <f t="shared" si="0"/>
        <v>750</v>
      </c>
      <c r="H17" s="9"/>
      <c r="I17" s="149"/>
      <c r="J17" s="150"/>
    </row>
    <row r="18" spans="1:11" x14ac:dyDescent="0.2">
      <c r="A18" s="9"/>
      <c r="B18" s="198" t="s">
        <v>261</v>
      </c>
      <c r="C18" s="148"/>
      <c r="D18" s="148"/>
      <c r="E18" s="157">
        <v>0.04</v>
      </c>
      <c r="F18" s="232">
        <f t="shared" si="1"/>
        <v>2</v>
      </c>
      <c r="G18" s="234">
        <f t="shared" si="0"/>
        <v>1000</v>
      </c>
      <c r="H18" s="9"/>
      <c r="I18" s="149"/>
      <c r="J18" s="150"/>
    </row>
    <row r="19" spans="1:11" x14ac:dyDescent="0.2">
      <c r="A19" s="9"/>
      <c r="B19" s="198" t="s">
        <v>248</v>
      </c>
      <c r="C19" s="148"/>
      <c r="D19" s="148"/>
      <c r="E19" s="157">
        <v>0.03</v>
      </c>
      <c r="F19" s="232">
        <f t="shared" si="1"/>
        <v>1.5</v>
      </c>
      <c r="G19" s="234">
        <f t="shared" si="0"/>
        <v>750</v>
      </c>
      <c r="H19" s="9"/>
      <c r="I19" s="149"/>
      <c r="J19" s="150"/>
    </row>
    <row r="20" spans="1:11" x14ac:dyDescent="0.2">
      <c r="A20" s="9"/>
      <c r="B20" s="198" t="s">
        <v>249</v>
      </c>
      <c r="C20" s="148"/>
      <c r="D20" s="148"/>
      <c r="E20" s="199">
        <v>0.02</v>
      </c>
      <c r="F20" s="232">
        <f t="shared" si="1"/>
        <v>1</v>
      </c>
      <c r="G20" s="234">
        <f t="shared" si="0"/>
        <v>500</v>
      </c>
      <c r="H20" s="9"/>
      <c r="I20" s="149"/>
      <c r="J20" s="150"/>
    </row>
    <row r="21" spans="1:11" x14ac:dyDescent="0.2">
      <c r="A21" s="9"/>
      <c r="B21" s="198" t="s">
        <v>250</v>
      </c>
      <c r="C21" s="148"/>
      <c r="D21" s="148"/>
      <c r="E21" s="199">
        <v>0.03</v>
      </c>
      <c r="F21" s="232">
        <f t="shared" si="1"/>
        <v>1.5</v>
      </c>
      <c r="G21" s="234">
        <f t="shared" si="0"/>
        <v>750</v>
      </c>
      <c r="H21" s="9"/>
      <c r="I21" s="149"/>
      <c r="J21" s="150"/>
    </row>
    <row r="22" spans="1:11" x14ac:dyDescent="0.2">
      <c r="A22" s="9"/>
      <c r="B22" s="198" t="s">
        <v>251</v>
      </c>
      <c r="C22" s="148"/>
      <c r="D22" s="148"/>
      <c r="E22" s="199">
        <v>0.03</v>
      </c>
      <c r="F22" s="232">
        <f t="shared" si="1"/>
        <v>1.5</v>
      </c>
      <c r="G22" s="234">
        <f t="shared" si="0"/>
        <v>750</v>
      </c>
      <c r="H22" s="9"/>
      <c r="I22" s="149"/>
      <c r="J22" s="150"/>
    </row>
    <row r="23" spans="1:11" x14ac:dyDescent="0.2">
      <c r="A23" s="9"/>
      <c r="B23" s="198" t="s">
        <v>252</v>
      </c>
      <c r="C23" s="148"/>
      <c r="D23" s="148"/>
      <c r="E23" s="157">
        <v>0.02</v>
      </c>
      <c r="F23" s="232">
        <f t="shared" si="1"/>
        <v>1</v>
      </c>
      <c r="G23" s="234">
        <f t="shared" si="0"/>
        <v>500</v>
      </c>
      <c r="H23" s="9"/>
      <c r="I23" s="149"/>
      <c r="J23" s="150"/>
    </row>
    <row r="24" spans="1:11" x14ac:dyDescent="0.2">
      <c r="A24" s="9"/>
      <c r="B24" s="198" t="s">
        <v>240</v>
      </c>
      <c r="C24" s="148"/>
      <c r="D24" s="148"/>
      <c r="E24" s="157">
        <v>0.02</v>
      </c>
      <c r="F24" s="232">
        <f t="shared" si="1"/>
        <v>1</v>
      </c>
      <c r="G24" s="234">
        <f t="shared" si="0"/>
        <v>500</v>
      </c>
      <c r="H24" s="9"/>
      <c r="I24" s="149"/>
      <c r="J24" s="150"/>
    </row>
    <row r="25" spans="1:11" x14ac:dyDescent="0.2">
      <c r="A25" s="9"/>
      <c r="B25" s="198" t="s">
        <v>253</v>
      </c>
      <c r="C25" s="148"/>
      <c r="D25" s="148"/>
      <c r="E25" s="199">
        <v>0.03</v>
      </c>
      <c r="F25" s="232">
        <f t="shared" si="1"/>
        <v>1.5</v>
      </c>
      <c r="G25" s="234">
        <f t="shared" si="0"/>
        <v>750</v>
      </c>
      <c r="H25" s="9"/>
      <c r="I25" s="149"/>
      <c r="J25" s="150"/>
    </row>
    <row r="26" spans="1:11" x14ac:dyDescent="0.2">
      <c r="A26" s="9"/>
      <c r="B26" s="198" t="s">
        <v>241</v>
      </c>
      <c r="C26" s="148"/>
      <c r="D26" s="148"/>
      <c r="E26" s="199">
        <v>0.04</v>
      </c>
      <c r="F26" s="232">
        <f t="shared" si="1"/>
        <v>2</v>
      </c>
      <c r="G26" s="234">
        <f t="shared" si="0"/>
        <v>1000</v>
      </c>
      <c r="H26" s="9"/>
      <c r="I26" s="149"/>
      <c r="J26" s="150"/>
    </row>
    <row r="27" spans="1:11" x14ac:dyDescent="0.2">
      <c r="A27" s="9"/>
      <c r="B27" s="198" t="s">
        <v>254</v>
      </c>
      <c r="C27" s="148"/>
      <c r="D27" s="148"/>
      <c r="E27" s="199">
        <v>0.05</v>
      </c>
      <c r="F27" s="232">
        <f t="shared" si="1"/>
        <v>2.5</v>
      </c>
      <c r="G27" s="234">
        <f t="shared" si="0"/>
        <v>1250</v>
      </c>
      <c r="H27" s="9"/>
      <c r="I27" s="149"/>
      <c r="J27" s="150"/>
    </row>
    <row r="28" spans="1:11" x14ac:dyDescent="0.2">
      <c r="A28" s="9"/>
      <c r="B28" s="198" t="s">
        <v>255</v>
      </c>
      <c r="C28" s="148"/>
      <c r="D28" s="148"/>
      <c r="E28" s="157">
        <v>0.02</v>
      </c>
      <c r="F28" s="232">
        <f t="shared" si="1"/>
        <v>1</v>
      </c>
      <c r="G28" s="234">
        <f t="shared" si="0"/>
        <v>500</v>
      </c>
      <c r="H28" s="9"/>
      <c r="I28" s="149"/>
      <c r="J28" s="150"/>
    </row>
    <row r="29" spans="1:11" x14ac:dyDescent="0.2">
      <c r="A29" s="9"/>
      <c r="B29" s="198" t="s">
        <v>256</v>
      </c>
      <c r="C29" s="148"/>
      <c r="D29" s="148"/>
      <c r="E29" s="157">
        <v>0.03</v>
      </c>
      <c r="F29" s="232">
        <f t="shared" si="1"/>
        <v>1.5</v>
      </c>
      <c r="G29" s="234">
        <f t="shared" si="0"/>
        <v>750</v>
      </c>
      <c r="H29" s="9"/>
      <c r="I29" s="149"/>
      <c r="J29" s="150"/>
    </row>
    <row r="30" spans="1:11" x14ac:dyDescent="0.2">
      <c r="A30" s="9"/>
      <c r="B30" s="198" t="s">
        <v>257</v>
      </c>
      <c r="C30" s="148"/>
      <c r="D30" s="148"/>
      <c r="E30" s="199">
        <v>7.0000000000000007E-2</v>
      </c>
      <c r="F30" s="232">
        <f t="shared" si="1"/>
        <v>3.5000000000000004</v>
      </c>
      <c r="G30" s="234">
        <f t="shared" si="0"/>
        <v>1750.0000000000002</v>
      </c>
      <c r="H30" s="9"/>
      <c r="I30" s="149"/>
      <c r="J30" s="150"/>
      <c r="K30" s="279"/>
    </row>
    <row r="31" spans="1:11" x14ac:dyDescent="0.2">
      <c r="A31" s="9"/>
      <c r="B31" s="198" t="s">
        <v>258</v>
      </c>
      <c r="C31" s="148"/>
      <c r="D31" s="148"/>
      <c r="E31" s="199">
        <v>0.03</v>
      </c>
      <c r="F31" s="232">
        <f t="shared" si="1"/>
        <v>1.5</v>
      </c>
      <c r="G31" s="234">
        <f t="shared" si="0"/>
        <v>750</v>
      </c>
      <c r="H31" s="9"/>
      <c r="I31" s="149"/>
      <c r="J31" s="150"/>
    </row>
    <row r="32" spans="1:11" x14ac:dyDescent="0.2">
      <c r="A32" s="9"/>
      <c r="B32" s="198" t="s">
        <v>259</v>
      </c>
      <c r="C32" s="148"/>
      <c r="D32" s="148"/>
      <c r="E32" s="199">
        <v>0.03</v>
      </c>
      <c r="F32" s="232">
        <f t="shared" si="1"/>
        <v>1.5</v>
      </c>
      <c r="G32" s="234">
        <f t="shared" si="0"/>
        <v>750</v>
      </c>
      <c r="H32" s="9"/>
      <c r="I32" s="149"/>
      <c r="J32" s="150"/>
    </row>
    <row r="33" spans="1:12" x14ac:dyDescent="0.2">
      <c r="A33" s="9"/>
      <c r="B33" s="198" t="s">
        <v>260</v>
      </c>
      <c r="C33" s="148"/>
      <c r="D33" s="148"/>
      <c r="E33" s="199">
        <v>7.0000000000000007E-2</v>
      </c>
      <c r="F33" s="232">
        <f t="shared" si="1"/>
        <v>3.5000000000000004</v>
      </c>
      <c r="G33" s="234">
        <f t="shared" si="0"/>
        <v>1750.0000000000002</v>
      </c>
      <c r="H33" s="9"/>
      <c r="I33" s="153"/>
      <c r="J33" s="150"/>
    </row>
    <row r="34" spans="1:12" x14ac:dyDescent="0.2">
      <c r="A34" s="9"/>
      <c r="B34" s="146" t="s">
        <v>188</v>
      </c>
      <c r="C34" s="158"/>
      <c r="D34" s="158"/>
      <c r="E34" s="158"/>
      <c r="F34" s="235"/>
      <c r="G34" s="231">
        <f>SUM(G35:G36)</f>
        <v>30208.333333333332</v>
      </c>
      <c r="H34" s="9"/>
      <c r="I34" s="236"/>
      <c r="J34" s="150"/>
      <c r="L34" s="222"/>
    </row>
    <row r="35" spans="1:12" x14ac:dyDescent="0.2">
      <c r="A35" s="9"/>
      <c r="B35" s="198" t="s">
        <v>189</v>
      </c>
      <c r="C35" s="199">
        <f>10/60*4</f>
        <v>0.66666666666666663</v>
      </c>
      <c r="D35" s="199">
        <f>C35/10</f>
        <v>6.6666666666666666E-2</v>
      </c>
      <c r="E35" s="199">
        <f>C35-D35</f>
        <v>0.6</v>
      </c>
      <c r="F35" s="282">
        <f>E35*EngCst</f>
        <v>30</v>
      </c>
      <c r="G35" s="233">
        <f>F35*APQty</f>
        <v>15000</v>
      </c>
      <c r="H35" s="9"/>
      <c r="I35" s="153"/>
      <c r="J35" s="150"/>
    </row>
    <row r="36" spans="1:12" x14ac:dyDescent="0.2">
      <c r="A36" s="9"/>
      <c r="B36" s="198" t="s">
        <v>262</v>
      </c>
      <c r="C36" s="199"/>
      <c r="D36" s="199"/>
      <c r="E36" s="199">
        <f>5/60*365*0.02</f>
        <v>0.60833333333333328</v>
      </c>
      <c r="F36" s="283">
        <f>E36*EngCst</f>
        <v>30.416666666666664</v>
      </c>
      <c r="G36" s="237">
        <f>F36*APQty</f>
        <v>15208.333333333332</v>
      </c>
      <c r="H36" s="9"/>
      <c r="I36" s="153"/>
      <c r="J36" s="150"/>
    </row>
    <row r="37" spans="1:12" x14ac:dyDescent="0.2">
      <c r="A37" s="9"/>
      <c r="B37" s="159" t="s">
        <v>192</v>
      </c>
      <c r="C37" s="160">
        <v>1</v>
      </c>
      <c r="D37" s="160">
        <f>C37/10</f>
        <v>0.1</v>
      </c>
      <c r="E37" s="160">
        <f>C37-D37</f>
        <v>0.9</v>
      </c>
      <c r="F37" s="284">
        <f>E37*EngCst</f>
        <v>45</v>
      </c>
      <c r="G37" s="223">
        <f>F37*APQty</f>
        <v>22500</v>
      </c>
      <c r="H37" s="9"/>
      <c r="I37" s="236"/>
      <c r="J37" s="150"/>
    </row>
    <row r="38" spans="1:12" x14ac:dyDescent="0.2">
      <c r="A38" s="9"/>
      <c r="B38" s="9"/>
      <c r="C38" s="9"/>
      <c r="D38" s="9"/>
      <c r="E38" s="9"/>
      <c r="F38" s="9"/>
      <c r="G38" s="9"/>
      <c r="H38" s="9"/>
      <c r="I38" s="236"/>
      <c r="J38" s="150"/>
      <c r="K38" s="222"/>
    </row>
    <row r="39" spans="1:12" x14ac:dyDescent="0.2">
      <c r="A39" s="9"/>
      <c r="B39" s="159" t="s">
        <v>194</v>
      </c>
      <c r="C39" s="161"/>
      <c r="D39" s="161"/>
      <c r="E39" s="161"/>
      <c r="F39" s="162"/>
      <c r="G39" s="238">
        <f>SUM(G40:G42)</f>
        <v>25873.255133628845</v>
      </c>
      <c r="H39" s="9"/>
      <c r="I39" s="153"/>
      <c r="J39" s="150"/>
    </row>
    <row r="40" spans="1:12" x14ac:dyDescent="0.2">
      <c r="A40" s="9"/>
      <c r="B40" s="198" t="s">
        <v>195</v>
      </c>
      <c r="C40" s="200"/>
      <c r="D40" s="200"/>
      <c r="E40" s="200"/>
      <c r="F40" s="163"/>
      <c r="G40" s="234">
        <f>((JNPRTkt/(1-Ticket)*AvgUsrImp*(1-Solve)*DisScpEmp*AvgUsrRte)*APPcnt)/Term</f>
        <v>13762.369751930237</v>
      </c>
      <c r="H40" s="9"/>
      <c r="I40" s="239"/>
      <c r="J40" s="150"/>
    </row>
    <row r="41" spans="1:12" x14ac:dyDescent="0.2">
      <c r="A41" s="9"/>
      <c r="B41" s="198" t="s">
        <v>263</v>
      </c>
      <c r="C41" s="200"/>
      <c r="D41" s="200"/>
      <c r="E41" s="200"/>
      <c r="F41" s="201"/>
      <c r="G41" s="234">
        <f>(((JNPRTkt/(1-Ticket)*AvgUsrImp*(1-Solve)*DisScp*QalLstVis)*APPcnt)/Term)</f>
        <v>1100.9895801544189</v>
      </c>
      <c r="H41" s="9"/>
      <c r="I41" s="239"/>
      <c r="J41" s="150"/>
    </row>
    <row r="42" spans="1:12" x14ac:dyDescent="0.2">
      <c r="A42" s="9"/>
      <c r="B42" s="164" t="s">
        <v>264</v>
      </c>
      <c r="C42" s="165"/>
      <c r="D42" s="165"/>
      <c r="E42" s="165"/>
      <c r="F42" s="166"/>
      <c r="G42" s="234">
        <f>(((JNPRTkt/(1-Ticket)*AvgUsrImp*(1-Solve)*PctTktBiz*BizImpHr)*APPcnt)/Term)</f>
        <v>11009.895801544189</v>
      </c>
      <c r="H42" s="9"/>
      <c r="I42" s="239"/>
      <c r="J42" s="150"/>
    </row>
    <row r="43" spans="1:12" x14ac:dyDescent="0.2">
      <c r="A43" s="9"/>
      <c r="B43" s="9"/>
      <c r="C43" s="9"/>
      <c r="D43" s="9"/>
      <c r="E43" s="9"/>
      <c r="F43" s="9"/>
      <c r="G43" s="167"/>
      <c r="H43" s="9"/>
    </row>
    <row r="44" spans="1:12" x14ac:dyDescent="0.2">
      <c r="A44" s="9"/>
      <c r="B44" s="9"/>
      <c r="C44" s="9"/>
      <c r="D44" s="9"/>
      <c r="E44" s="9"/>
      <c r="F44" s="9"/>
      <c r="G44" s="9"/>
      <c r="H44" s="9"/>
      <c r="J44" s="168"/>
    </row>
    <row r="45" spans="1:12" x14ac:dyDescent="0.2">
      <c r="A45" s="9"/>
      <c r="B45" s="477" t="s">
        <v>232</v>
      </c>
      <c r="C45" s="478"/>
      <c r="D45" s="478"/>
      <c r="E45" s="478"/>
      <c r="F45" s="478"/>
      <c r="G45" s="240">
        <f>SUM(G5:G8,G11,G34,G37,G39)</f>
        <v>298331.58846696222</v>
      </c>
      <c r="H45" s="9"/>
    </row>
    <row r="46" spans="1:12" x14ac:dyDescent="0.2">
      <c r="A46" s="9"/>
      <c r="B46" s="472" t="str">
        <f>IF(Term&gt;1,"Savings for year 2","")</f>
        <v>Savings for year 2</v>
      </c>
      <c r="C46" s="473"/>
      <c r="D46" s="473"/>
      <c r="E46" s="473"/>
      <c r="F46" s="473"/>
      <c r="G46" s="241">
        <f>IF(Term&gt;1,G11+G34+G37+G39,0)</f>
        <v>98331.588466962174</v>
      </c>
      <c r="H46" s="9"/>
    </row>
    <row r="47" spans="1:12" x14ac:dyDescent="0.2">
      <c r="A47" s="9"/>
      <c r="B47" s="472" t="str">
        <f>IF(Term&gt;=3,"Savings for year 3","")</f>
        <v>Savings for year 3</v>
      </c>
      <c r="C47" s="473"/>
      <c r="D47" s="473"/>
      <c r="E47" s="473"/>
      <c r="F47" s="473"/>
      <c r="G47" s="241">
        <f>IF(Term&gt;=3,G46,0)</f>
        <v>98331.588466962174</v>
      </c>
      <c r="H47" s="9"/>
    </row>
    <row r="48" spans="1:12" x14ac:dyDescent="0.2">
      <c r="A48" s="9"/>
      <c r="B48" s="472" t="str">
        <f>IF(Term&gt;3,"Savings for year 4","")</f>
        <v/>
      </c>
      <c r="C48" s="473"/>
      <c r="D48" s="473"/>
      <c r="E48" s="473"/>
      <c r="F48" s="473"/>
      <c r="G48" s="241" t="str">
        <f>IF(Term&gt;3,G46,"")</f>
        <v/>
      </c>
      <c r="H48" s="9"/>
    </row>
    <row r="49" spans="1:8" x14ac:dyDescent="0.2">
      <c r="A49" s="9"/>
      <c r="B49" s="472" t="str">
        <f>IF(Term&gt;3,"Savings for year 5","")</f>
        <v/>
      </c>
      <c r="C49" s="473"/>
      <c r="D49" s="473"/>
      <c r="E49" s="473"/>
      <c r="F49" s="473"/>
      <c r="G49" s="241" t="str">
        <f>IF(Term&gt;3,G46,"")</f>
        <v/>
      </c>
      <c r="H49" s="9"/>
    </row>
    <row r="50" spans="1:8" s="210" customFormat="1" ht="19" x14ac:dyDescent="0.25">
      <c r="A50" s="141"/>
      <c r="B50" s="207" t="str">
        <f>"["&amp;Term&amp;"] YEAR SAVINGS "</f>
        <v xml:space="preserve">[3] YEAR SAVINGS </v>
      </c>
      <c r="C50" s="207"/>
      <c r="D50" s="207"/>
      <c r="E50" s="207"/>
      <c r="F50" s="208" t="s">
        <v>38</v>
      </c>
      <c r="G50" s="242"/>
      <c r="H50" s="141"/>
    </row>
    <row r="51" spans="1:8" x14ac:dyDescent="0.2">
      <c r="A51" s="9"/>
      <c r="B51" s="11" t="s">
        <v>236</v>
      </c>
      <c r="C51" s="10"/>
      <c r="D51" s="10"/>
      <c r="E51" s="10"/>
      <c r="F51" s="206">
        <f>IF(OR(JNPRHW=0, APPcnt=0),0,G51/(JNPRHW*APPcnt))</f>
        <v>6.7438617175395228</v>
      </c>
      <c r="G51" s="243">
        <f>SUM(G45:G49)</f>
        <v>494994.76540088654</v>
      </c>
      <c r="H51" s="9"/>
    </row>
    <row r="52" spans="1:8" x14ac:dyDescent="0.2">
      <c r="A52" s="9"/>
      <c r="B52" s="11" t="s">
        <v>235</v>
      </c>
      <c r="C52" s="10"/>
      <c r="D52" s="10"/>
      <c r="E52" s="10"/>
      <c r="F52" s="206">
        <f>IF(OR(JNPRHW=0,SWPcnt =0),0,G52/(JNPRHW*SWPcnt))</f>
        <v>8.524796484993292</v>
      </c>
      <c r="G52" s="243">
        <f>'Wired Assurance'!G36</f>
        <v>171448.11896637082</v>
      </c>
      <c r="H52" s="9"/>
    </row>
    <row r="53" spans="1:8" x14ac:dyDescent="0.2">
      <c r="A53" s="9"/>
      <c r="B53" s="11" t="s">
        <v>237</v>
      </c>
      <c r="C53" s="10"/>
      <c r="D53" s="10"/>
      <c r="E53" s="10"/>
      <c r="F53" s="206">
        <f>IF(OR(JNPRHW=0,GWPcnt=0),0,G53/(JNPRHW*GWPcnt))</f>
        <v>2.5593763966704448</v>
      </c>
      <c r="G53" s="243">
        <f>'WAN Assurance'!G33</f>
        <v>16607.800360136032</v>
      </c>
      <c r="H53" s="9"/>
    </row>
    <row r="54" spans="1:8" s="210" customFormat="1" ht="19" x14ac:dyDescent="0.25">
      <c r="A54" s="141"/>
      <c r="B54" s="211" t="s">
        <v>169</v>
      </c>
      <c r="C54" s="207"/>
      <c r="D54" s="207"/>
      <c r="E54" s="207"/>
      <c r="F54" s="209">
        <f>IF(JNPRHW=0,0,G54/(JNPRHW-(JNPRHW*OthPcnt)))</f>
        <v>6.8305068472739343</v>
      </c>
      <c r="G54" s="242">
        <f>SUM(G51:G53)</f>
        <v>683050.68472739344</v>
      </c>
      <c r="H54" s="141"/>
    </row>
    <row r="55" spans="1:8" x14ac:dyDescent="0.2">
      <c r="A55" s="9"/>
      <c r="B55" s="9"/>
      <c r="C55" s="9"/>
      <c r="D55" s="9"/>
      <c r="E55" s="9"/>
      <c r="F55" s="9"/>
      <c r="G55" s="9"/>
      <c r="H55" s="9"/>
    </row>
    <row r="56" spans="1:8" x14ac:dyDescent="0.2">
      <c r="A56" s="9"/>
      <c r="B56" s="9"/>
      <c r="C56" s="9"/>
      <c r="D56" s="9"/>
      <c r="E56" s="9"/>
      <c r="F56" s="9"/>
      <c r="G56" s="9"/>
      <c r="H56" s="9"/>
    </row>
  </sheetData>
  <sheetProtection sheet="1" formatColumns="0" selectLockedCells="1"/>
  <mergeCells count="7">
    <mergeCell ref="B49:F49"/>
    <mergeCell ref="B1:G1"/>
    <mergeCell ref="C4:G4"/>
    <mergeCell ref="B45:F45"/>
    <mergeCell ref="B46:F46"/>
    <mergeCell ref="B47:F47"/>
    <mergeCell ref="B48:F48"/>
  </mergeCell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061AD-DAA8-8646-B925-32F689AF2C90}">
  <sheetPr codeName="Sheet10"/>
  <dimension ref="A1:J41"/>
  <sheetViews>
    <sheetView workbookViewId="0">
      <pane ySplit="10" topLeftCell="A29" activePane="bottomLeft" state="frozen"/>
      <selection activeCell="K8" sqref="K8"/>
      <selection pane="bottomLeft" activeCell="K8" sqref="K8"/>
    </sheetView>
  </sheetViews>
  <sheetFormatPr baseColWidth="10" defaultColWidth="10.83203125" defaultRowHeight="16" x14ac:dyDescent="0.2"/>
  <cols>
    <col min="1" max="1" width="2.33203125" customWidth="1"/>
    <col min="2" max="2" width="43.6640625" bestFit="1" customWidth="1"/>
    <col min="3" max="3" width="12.1640625" customWidth="1"/>
    <col min="4" max="4" width="7.6640625" bestFit="1" customWidth="1"/>
    <col min="5" max="7" width="16.33203125" bestFit="1" customWidth="1"/>
    <col min="8" max="8" width="2.33203125" customWidth="1"/>
    <col min="9" max="9" width="28.1640625" hidden="1" customWidth="1"/>
    <col min="10" max="10" width="11" customWidth="1"/>
  </cols>
  <sheetData>
    <row r="1" spans="1:10" ht="29" x14ac:dyDescent="0.35">
      <c r="A1" s="34"/>
      <c r="B1" s="474" t="s">
        <v>231</v>
      </c>
      <c r="C1" s="474"/>
      <c r="D1" s="474"/>
      <c r="E1" s="474"/>
      <c r="F1" s="474"/>
      <c r="G1" s="474"/>
      <c r="H1" s="34"/>
    </row>
    <row r="2" spans="1:10" ht="29" x14ac:dyDescent="0.2">
      <c r="A2" s="34"/>
      <c r="B2" s="5"/>
      <c r="C2" s="5"/>
      <c r="D2" s="5"/>
      <c r="E2" s="5"/>
      <c r="F2" s="5"/>
      <c r="G2" s="5"/>
      <c r="H2" s="34"/>
    </row>
    <row r="3" spans="1:10" ht="19" x14ac:dyDescent="0.25">
      <c r="A3" s="9"/>
      <c r="B3" s="141"/>
      <c r="C3" s="142" t="s">
        <v>167</v>
      </c>
      <c r="D3" s="142" t="s">
        <v>168</v>
      </c>
      <c r="E3" s="143" t="s">
        <v>270</v>
      </c>
      <c r="F3" s="143" t="s">
        <v>271</v>
      </c>
      <c r="G3" s="144" t="s">
        <v>169</v>
      </c>
      <c r="H3" s="9"/>
    </row>
    <row r="4" spans="1:10" ht="19" x14ac:dyDescent="0.25">
      <c r="A4" s="9"/>
      <c r="B4" s="145" t="s">
        <v>170</v>
      </c>
      <c r="C4" s="475"/>
      <c r="D4" s="476"/>
      <c r="E4" s="476"/>
      <c r="F4" s="476"/>
      <c r="G4" s="476"/>
      <c r="H4" s="9"/>
    </row>
    <row r="5" spans="1:10" x14ac:dyDescent="0.2">
      <c r="A5" s="9"/>
      <c r="B5" s="202" t="s">
        <v>267</v>
      </c>
      <c r="C5" s="147">
        <v>4</v>
      </c>
      <c r="D5" s="148">
        <v>0.5</v>
      </c>
      <c r="E5" s="148">
        <f>C5-D5</f>
        <v>3.5</v>
      </c>
      <c r="F5" s="225">
        <f>E5*EngCst</f>
        <v>175</v>
      </c>
      <c r="G5" s="226">
        <f>F5*SWQty</f>
        <v>14000</v>
      </c>
      <c r="H5" s="9"/>
      <c r="I5" s="149" t="s">
        <v>234</v>
      </c>
      <c r="J5" s="150"/>
    </row>
    <row r="6" spans="1:10" x14ac:dyDescent="0.2">
      <c r="A6" s="9"/>
      <c r="B6" s="11" t="s">
        <v>269</v>
      </c>
      <c r="C6" s="147">
        <v>1.5</v>
      </c>
      <c r="D6" s="148">
        <v>1</v>
      </c>
      <c r="E6" s="148">
        <f>C6-D6</f>
        <v>0.5</v>
      </c>
      <c r="F6" s="225">
        <f>E6*EngCst</f>
        <v>25</v>
      </c>
      <c r="G6" s="226">
        <f>F6*SWQty</f>
        <v>2000</v>
      </c>
      <c r="H6" s="9"/>
      <c r="I6" s="149"/>
      <c r="J6" s="150"/>
    </row>
    <row r="7" spans="1:10" x14ac:dyDescent="0.2">
      <c r="A7" s="9"/>
      <c r="B7" s="11" t="s">
        <v>268</v>
      </c>
      <c r="C7" s="147">
        <v>3</v>
      </c>
      <c r="D7" s="148">
        <v>0.5</v>
      </c>
      <c r="E7" s="148">
        <f>C7-D7</f>
        <v>2.5</v>
      </c>
      <c r="F7" s="225">
        <f>E7*EngCst</f>
        <v>125</v>
      </c>
      <c r="G7" s="226">
        <f>F7*SWQty</f>
        <v>10000</v>
      </c>
      <c r="H7" s="9"/>
      <c r="I7" s="149"/>
      <c r="J7" s="150"/>
    </row>
    <row r="8" spans="1:10" x14ac:dyDescent="0.2">
      <c r="A8" s="9"/>
      <c r="B8" s="203" t="s">
        <v>56</v>
      </c>
      <c r="C8" s="151">
        <v>4.5</v>
      </c>
      <c r="D8" s="152">
        <v>0.5</v>
      </c>
      <c r="E8" s="152">
        <f>C8-D8</f>
        <v>4</v>
      </c>
      <c r="F8" s="227">
        <f>E8*EngCst</f>
        <v>200</v>
      </c>
      <c r="G8" s="226">
        <f>F8*SWQty</f>
        <v>16000</v>
      </c>
      <c r="H8" s="9"/>
      <c r="I8" s="228"/>
      <c r="J8" s="150"/>
    </row>
    <row r="9" spans="1:10" x14ac:dyDescent="0.2">
      <c r="A9" s="9"/>
      <c r="B9" s="9"/>
      <c r="C9" s="9"/>
      <c r="D9" s="9"/>
      <c r="E9" s="9"/>
      <c r="F9" s="9"/>
      <c r="G9" s="9"/>
      <c r="H9" s="9"/>
      <c r="I9" s="153"/>
      <c r="J9" s="150"/>
    </row>
    <row r="10" spans="1:10" ht="19" x14ac:dyDescent="0.25">
      <c r="A10" s="9"/>
      <c r="B10" s="154" t="s">
        <v>172</v>
      </c>
      <c r="C10" s="142" t="s">
        <v>167</v>
      </c>
      <c r="D10" s="142" t="s">
        <v>168</v>
      </c>
      <c r="E10" s="143" t="s">
        <v>270</v>
      </c>
      <c r="F10" s="143" t="s">
        <v>271</v>
      </c>
      <c r="G10" s="155"/>
      <c r="H10" s="9"/>
      <c r="I10" s="153"/>
      <c r="J10" s="229"/>
    </row>
    <row r="11" spans="1:10" x14ac:dyDescent="0.2">
      <c r="A11" s="9"/>
      <c r="B11" s="146" t="s">
        <v>173</v>
      </c>
      <c r="C11" s="156"/>
      <c r="D11" s="156"/>
      <c r="E11" s="156"/>
      <c r="F11" s="230"/>
      <c r="G11" s="231">
        <f>SUM(G12:G18)</f>
        <v>16920</v>
      </c>
      <c r="H11" s="9"/>
      <c r="I11" s="153"/>
      <c r="J11" s="150"/>
    </row>
    <row r="12" spans="1:10" x14ac:dyDescent="0.2">
      <c r="A12" s="9"/>
      <c r="B12" s="198" t="s">
        <v>174</v>
      </c>
      <c r="C12" s="148"/>
      <c r="D12" s="148"/>
      <c r="E12" s="157">
        <f>2*(AvgSWPrt*PcntPrtUse)*0.005</f>
        <v>0.18</v>
      </c>
      <c r="F12" s="232">
        <f t="shared" ref="F12:F18" si="0">E12*EngCst</f>
        <v>9</v>
      </c>
      <c r="G12" s="233">
        <f t="shared" ref="G12:G18" si="1">F12*SWQty</f>
        <v>720</v>
      </c>
      <c r="H12" s="9"/>
      <c r="I12" s="149" t="s">
        <v>175</v>
      </c>
      <c r="J12" s="150"/>
    </row>
    <row r="13" spans="1:10" x14ac:dyDescent="0.2">
      <c r="A13" s="9"/>
      <c r="B13" s="198" t="s">
        <v>176</v>
      </c>
      <c r="C13" s="148"/>
      <c r="D13" s="148"/>
      <c r="E13" s="157">
        <f>1*(AvgSWPrt*PcntPrtUse)*0.005</f>
        <v>0.09</v>
      </c>
      <c r="F13" s="232">
        <f t="shared" si="0"/>
        <v>4.5</v>
      </c>
      <c r="G13" s="234">
        <f t="shared" si="1"/>
        <v>360</v>
      </c>
      <c r="H13" s="9"/>
      <c r="I13" s="149" t="s">
        <v>177</v>
      </c>
      <c r="J13" s="150"/>
    </row>
    <row r="14" spans="1:10" x14ac:dyDescent="0.2">
      <c r="A14" s="9"/>
      <c r="B14" s="198" t="s">
        <v>178</v>
      </c>
      <c r="C14" s="148"/>
      <c r="D14" s="148"/>
      <c r="E14" s="157">
        <f>4*(AvgSWPrt*PcntPrtUse)*0.02</f>
        <v>1.44</v>
      </c>
      <c r="F14" s="232">
        <f t="shared" si="0"/>
        <v>72</v>
      </c>
      <c r="G14" s="234">
        <f t="shared" si="1"/>
        <v>5760</v>
      </c>
      <c r="H14" s="9"/>
      <c r="I14" s="149" t="s">
        <v>179</v>
      </c>
      <c r="J14" s="150"/>
    </row>
    <row r="15" spans="1:10" x14ac:dyDescent="0.2">
      <c r="A15" s="9"/>
      <c r="B15" s="198" t="s">
        <v>180</v>
      </c>
      <c r="C15" s="148"/>
      <c r="D15" s="148"/>
      <c r="E15" s="199">
        <f>1*(AvgSWPrt*PcntPrtUse)*0.01</f>
        <v>0.18</v>
      </c>
      <c r="F15" s="232">
        <f t="shared" si="0"/>
        <v>9</v>
      </c>
      <c r="G15" s="234">
        <f t="shared" si="1"/>
        <v>720</v>
      </c>
      <c r="H15" s="9"/>
      <c r="I15" s="149" t="s">
        <v>181</v>
      </c>
      <c r="J15" s="150"/>
    </row>
    <row r="16" spans="1:10" x14ac:dyDescent="0.2">
      <c r="A16" s="9"/>
      <c r="B16" s="198" t="s">
        <v>182</v>
      </c>
      <c r="C16" s="148"/>
      <c r="D16" s="148"/>
      <c r="E16" s="199">
        <f>2*(AvgSWPrt*PcntPrtUse)*0.05</f>
        <v>1.8</v>
      </c>
      <c r="F16" s="232">
        <f t="shared" si="0"/>
        <v>90</v>
      </c>
      <c r="G16" s="234">
        <f t="shared" si="1"/>
        <v>7200</v>
      </c>
      <c r="H16" s="9"/>
      <c r="I16" s="149" t="s">
        <v>183</v>
      </c>
      <c r="J16" s="150"/>
    </row>
    <row r="17" spans="1:10" x14ac:dyDescent="0.2">
      <c r="A17" s="9"/>
      <c r="B17" s="198" t="s">
        <v>184</v>
      </c>
      <c r="C17" s="148"/>
      <c r="D17" s="148"/>
      <c r="E17" s="199">
        <f>2*(AvgSWPrt*PcntPrtUse)*0.01</f>
        <v>0.36</v>
      </c>
      <c r="F17" s="232">
        <f t="shared" si="0"/>
        <v>18</v>
      </c>
      <c r="G17" s="234">
        <f t="shared" si="1"/>
        <v>1440</v>
      </c>
      <c r="H17" s="9"/>
      <c r="I17" s="149" t="s">
        <v>185</v>
      </c>
      <c r="J17" s="150"/>
    </row>
    <row r="18" spans="1:10" x14ac:dyDescent="0.2">
      <c r="A18" s="9"/>
      <c r="B18" s="198" t="s">
        <v>186</v>
      </c>
      <c r="C18" s="148"/>
      <c r="D18" s="148"/>
      <c r="E18" s="199">
        <f>1*(AvgSWPrt*PcntPrtUse)*0.01</f>
        <v>0.18</v>
      </c>
      <c r="F18" s="232">
        <f t="shared" si="0"/>
        <v>9</v>
      </c>
      <c r="G18" s="234">
        <f t="shared" si="1"/>
        <v>720</v>
      </c>
      <c r="H18" s="9"/>
      <c r="I18" s="153" t="s">
        <v>187</v>
      </c>
      <c r="J18" s="150"/>
    </row>
    <row r="19" spans="1:10" x14ac:dyDescent="0.2">
      <c r="A19" s="9"/>
      <c r="B19" s="146" t="s">
        <v>188</v>
      </c>
      <c r="C19" s="158"/>
      <c r="D19" s="158"/>
      <c r="E19" s="158"/>
      <c r="F19" s="235"/>
      <c r="G19" s="231">
        <f>SUM(G20:G21)</f>
        <v>15540</v>
      </c>
      <c r="H19" s="9"/>
      <c r="I19" s="153"/>
      <c r="J19" s="150"/>
    </row>
    <row r="20" spans="1:10" x14ac:dyDescent="0.2">
      <c r="A20" s="9"/>
      <c r="B20" s="198" t="s">
        <v>189</v>
      </c>
      <c r="C20" s="199">
        <f>10/60*4</f>
        <v>0.66666666666666663</v>
      </c>
      <c r="D20" s="199">
        <f>C20/10</f>
        <v>6.6666666666666666E-2</v>
      </c>
      <c r="E20" s="199">
        <f>C20-D20</f>
        <v>0.6</v>
      </c>
      <c r="F20" s="282">
        <f>E20*EngCst</f>
        <v>30</v>
      </c>
      <c r="G20" s="233">
        <f>F20*SWQty</f>
        <v>2400</v>
      </c>
      <c r="H20" s="9"/>
      <c r="I20" s="153" t="s">
        <v>190</v>
      </c>
      <c r="J20" s="150"/>
    </row>
    <row r="21" spans="1:10" x14ac:dyDescent="0.2">
      <c r="A21" s="9"/>
      <c r="B21" s="198" t="s">
        <v>191</v>
      </c>
      <c r="C21" s="199"/>
      <c r="D21" s="199"/>
      <c r="E21" s="199">
        <f>5/60*365*(AvgSWPrt*PcntPrtUse)*0.006</f>
        <v>3.2850000000000001</v>
      </c>
      <c r="F21" s="283">
        <f>E21*EngCst</f>
        <v>164.25</v>
      </c>
      <c r="G21" s="237">
        <f>F21*SWQty</f>
        <v>13140</v>
      </c>
      <c r="H21" s="9"/>
      <c r="I21" s="153" t="s">
        <v>266</v>
      </c>
      <c r="J21" s="150"/>
    </row>
    <row r="22" spans="1:10" x14ac:dyDescent="0.2">
      <c r="A22" s="9"/>
      <c r="B22" s="159" t="s">
        <v>192</v>
      </c>
      <c r="C22" s="160">
        <v>1</v>
      </c>
      <c r="D22" s="160">
        <f>C22/10</f>
        <v>0.1</v>
      </c>
      <c r="E22" s="160">
        <f>C22-D22</f>
        <v>0.9</v>
      </c>
      <c r="F22" s="284">
        <f>E22*EngCst</f>
        <v>45</v>
      </c>
      <c r="G22" s="223">
        <f>F22*SWQty</f>
        <v>3600</v>
      </c>
      <c r="H22" s="9"/>
      <c r="I22" s="153" t="s">
        <v>193</v>
      </c>
      <c r="J22" s="150"/>
    </row>
    <row r="23" spans="1:10" x14ac:dyDescent="0.2">
      <c r="A23" s="9"/>
      <c r="B23" s="9"/>
      <c r="C23" s="9"/>
      <c r="D23" s="9"/>
      <c r="E23" s="9"/>
      <c r="F23" s="9"/>
      <c r="G23" s="9"/>
      <c r="H23" s="9"/>
      <c r="I23" s="153"/>
      <c r="J23" s="150"/>
    </row>
    <row r="24" spans="1:10" x14ac:dyDescent="0.2">
      <c r="A24" s="9"/>
      <c r="B24" s="159" t="s">
        <v>194</v>
      </c>
      <c r="C24" s="161"/>
      <c r="D24" s="161"/>
      <c r="E24" s="161"/>
      <c r="F24" s="162"/>
      <c r="G24" s="244">
        <f>SUM(G25:G27)</f>
        <v>7089.3729887902737</v>
      </c>
      <c r="H24" s="9"/>
      <c r="I24" s="153"/>
      <c r="J24" s="150"/>
    </row>
    <row r="25" spans="1:10" x14ac:dyDescent="0.2">
      <c r="A25" s="9"/>
      <c r="B25" s="198" t="s">
        <v>195</v>
      </c>
      <c r="C25" s="200"/>
      <c r="D25" s="200"/>
      <c r="E25" s="200"/>
      <c r="F25" s="163"/>
      <c r="G25" s="234">
        <f>((JNPRTkt/(1-Ticket)*AvgUsrImp*(1-Solve)*DisScpEmp*AvgUsrRte)*SWPcnt)/Term</f>
        <v>3770.9430791437626</v>
      </c>
      <c r="H25" s="9"/>
      <c r="I25" s="153" t="s">
        <v>196</v>
      </c>
      <c r="J25" s="150"/>
    </row>
    <row r="26" spans="1:10" x14ac:dyDescent="0.2">
      <c r="A26" s="9"/>
      <c r="B26" s="198" t="s">
        <v>263</v>
      </c>
      <c r="C26" s="200"/>
      <c r="D26" s="200"/>
      <c r="E26" s="200"/>
      <c r="F26" s="201"/>
      <c r="G26" s="234">
        <f>(((JNPRTkt/(1-Ticket)*AvgUsrImp*(1-Solve)*DisScp*QalLstVis)*SWPcnt)/Term)</f>
        <v>301.67544633150101</v>
      </c>
      <c r="H26" s="9"/>
      <c r="I26" s="153"/>
      <c r="J26" s="150"/>
    </row>
    <row r="27" spans="1:10" x14ac:dyDescent="0.2">
      <c r="A27" s="9"/>
      <c r="B27" s="164" t="s">
        <v>264</v>
      </c>
      <c r="C27" s="165"/>
      <c r="D27" s="165"/>
      <c r="E27" s="165"/>
      <c r="F27" s="166"/>
      <c r="G27" s="237">
        <f>(((JNPRTkt/(1-Ticket)*AvgUsrImp*(1-Solve)*PctTktBiz*BizImpHr)*SWPcnt)/Term)</f>
        <v>3016.7544633150101</v>
      </c>
      <c r="H27" s="9"/>
      <c r="I27" s="153" t="s">
        <v>197</v>
      </c>
      <c r="J27" s="150"/>
    </row>
    <row r="28" spans="1:10" x14ac:dyDescent="0.2">
      <c r="A28" s="9"/>
      <c r="B28" s="9"/>
      <c r="C28" s="9"/>
      <c r="D28" s="9"/>
      <c r="E28" s="9"/>
      <c r="F28" s="9"/>
      <c r="G28" s="167"/>
      <c r="H28" s="9"/>
    </row>
    <row r="29" spans="1:10" x14ac:dyDescent="0.2">
      <c r="A29" s="9"/>
      <c r="B29" s="9"/>
      <c r="C29" s="9"/>
      <c r="D29" s="9"/>
      <c r="E29" s="9"/>
      <c r="F29" s="9"/>
      <c r="G29" s="9"/>
      <c r="H29" s="9"/>
      <c r="J29" s="168"/>
    </row>
    <row r="30" spans="1:10" x14ac:dyDescent="0.2">
      <c r="A30" s="9"/>
      <c r="B30" s="477" t="s">
        <v>232</v>
      </c>
      <c r="C30" s="478"/>
      <c r="D30" s="478"/>
      <c r="E30" s="478"/>
      <c r="F30" s="478"/>
      <c r="G30" s="240">
        <f>SUM(G5:G8,G11,G19,G22,G24)</f>
        <v>85149.372988790274</v>
      </c>
      <c r="H30" s="9"/>
      <c r="I30" s="15"/>
    </row>
    <row r="31" spans="1:10" x14ac:dyDescent="0.2">
      <c r="A31" s="9"/>
      <c r="B31" s="472" t="str">
        <f>IF(Term&gt;1,"Savings for year 2","")</f>
        <v>Savings for year 2</v>
      </c>
      <c r="C31" s="473"/>
      <c r="D31" s="473"/>
      <c r="E31" s="473"/>
      <c r="F31" s="473"/>
      <c r="G31" s="241">
        <f>IF(Term&gt;1,G11+G19+G22+G24,0)</f>
        <v>43149.372988790274</v>
      </c>
      <c r="H31" s="9"/>
    </row>
    <row r="32" spans="1:10" x14ac:dyDescent="0.2">
      <c r="A32" s="9"/>
      <c r="B32" s="472" t="str">
        <f>IF(Term&gt;=3,"Savings for year 3","")</f>
        <v>Savings for year 3</v>
      </c>
      <c r="C32" s="473"/>
      <c r="D32" s="473"/>
      <c r="E32" s="473"/>
      <c r="F32" s="473"/>
      <c r="G32" s="241">
        <f>IF(Term&gt;=3,G31,0)</f>
        <v>43149.372988790274</v>
      </c>
      <c r="H32" s="9"/>
    </row>
    <row r="33" spans="1:8" x14ac:dyDescent="0.2">
      <c r="A33" s="9"/>
      <c r="B33" s="472" t="str">
        <f>IF(Term&gt;3,"Savings for year 4","")</f>
        <v/>
      </c>
      <c r="C33" s="473"/>
      <c r="D33" s="473"/>
      <c r="E33" s="473"/>
      <c r="F33" s="473"/>
      <c r="G33" s="241" t="str">
        <f>IF(Term&gt;3,G31,"")</f>
        <v/>
      </c>
      <c r="H33" s="9"/>
    </row>
    <row r="34" spans="1:8" x14ac:dyDescent="0.2">
      <c r="A34" s="9"/>
      <c r="B34" s="472" t="str">
        <f>IF(Term&gt;3,"Savings for year 5","")</f>
        <v/>
      </c>
      <c r="C34" s="473"/>
      <c r="D34" s="473"/>
      <c r="E34" s="473"/>
      <c r="F34" s="473"/>
      <c r="G34" s="241" t="str">
        <f>IF(Term&gt;3,G31,"")</f>
        <v/>
      </c>
      <c r="H34" s="9"/>
    </row>
    <row r="35" spans="1:8" ht="19" x14ac:dyDescent="0.25">
      <c r="A35" s="9"/>
      <c r="B35" s="207" t="str">
        <f>"["&amp;Term&amp;"] YEAR SAVINGS "</f>
        <v xml:space="preserve">[3] YEAR SAVINGS </v>
      </c>
      <c r="C35" s="207"/>
      <c r="D35" s="207"/>
      <c r="E35" s="207"/>
      <c r="F35" s="208" t="s">
        <v>38</v>
      </c>
      <c r="G35" s="242"/>
      <c r="H35" s="9"/>
    </row>
    <row r="36" spans="1:8" x14ac:dyDescent="0.2">
      <c r="A36" s="9"/>
      <c r="B36" s="11" t="s">
        <v>235</v>
      </c>
      <c r="C36" s="10"/>
      <c r="D36" s="10"/>
      <c r="E36" s="10"/>
      <c r="F36" s="206">
        <f>IF(OR(SWPcnt=0,JNPRHW=0),0,G36/(JNPRHW*SWPcnt))</f>
        <v>8.524796484993292</v>
      </c>
      <c r="G36" s="243">
        <f>SUM(G30:G34)</f>
        <v>171448.11896637082</v>
      </c>
      <c r="H36" s="9"/>
    </row>
    <row r="37" spans="1:8" x14ac:dyDescent="0.2">
      <c r="A37" s="9"/>
      <c r="B37" s="11" t="s">
        <v>236</v>
      </c>
      <c r="C37" s="10"/>
      <c r="D37" s="10"/>
      <c r="E37" s="10"/>
      <c r="F37" s="206">
        <f>IF(OR(APPcnt=0,JNPRHW=0),0,G37/(JNPRHW*APPcnt))</f>
        <v>6.7438617175395228</v>
      </c>
      <c r="G37" s="243">
        <f>'Wireless Assurance'!G51</f>
        <v>494994.76540088654</v>
      </c>
      <c r="H37" s="9"/>
    </row>
    <row r="38" spans="1:8" x14ac:dyDescent="0.2">
      <c r="A38" s="9"/>
      <c r="B38" s="11" t="s">
        <v>237</v>
      </c>
      <c r="C38" s="10"/>
      <c r="D38" s="10"/>
      <c r="E38" s="10"/>
      <c r="F38" s="206">
        <f>IF(OR(GWPcnt=0,JNPRHW=0),0,G38/(JNPRHW*GWPcnt))</f>
        <v>2.5593763966704448</v>
      </c>
      <c r="G38" s="243">
        <f>'WAN Assurance'!G33</f>
        <v>16607.800360136032</v>
      </c>
      <c r="H38" s="9"/>
    </row>
    <row r="39" spans="1:8" ht="19" x14ac:dyDescent="0.25">
      <c r="A39" s="9"/>
      <c r="B39" s="207" t="s">
        <v>169</v>
      </c>
      <c r="C39" s="207"/>
      <c r="D39" s="207"/>
      <c r="E39" s="207"/>
      <c r="F39" s="209">
        <f>IF(JNPRHW=0,0,G39/(JNPRHW-(JNPRHW*OthPcnt)))</f>
        <v>6.8305068472739343</v>
      </c>
      <c r="G39" s="242">
        <f>SUM(G36:G38)</f>
        <v>683050.68472739344</v>
      </c>
      <c r="H39" s="9"/>
    </row>
    <row r="40" spans="1:8" x14ac:dyDescent="0.2">
      <c r="A40" s="9"/>
      <c r="B40" s="9"/>
      <c r="C40" s="9"/>
      <c r="D40" s="9"/>
      <c r="E40" s="9"/>
      <c r="F40" s="9"/>
      <c r="G40" s="9"/>
      <c r="H40" s="9"/>
    </row>
    <row r="41" spans="1:8" x14ac:dyDescent="0.2">
      <c r="A41" s="9"/>
      <c r="B41" s="9"/>
      <c r="C41" s="9"/>
      <c r="D41" s="9"/>
      <c r="E41" s="9"/>
      <c r="F41" s="9"/>
      <c r="G41" s="9"/>
      <c r="H41" s="9"/>
    </row>
  </sheetData>
  <sheetProtection sheet="1" formatColumns="0" selectLockedCells="1"/>
  <mergeCells count="7">
    <mergeCell ref="B34:F34"/>
    <mergeCell ref="B31:F31"/>
    <mergeCell ref="B1:G1"/>
    <mergeCell ref="C4:G4"/>
    <mergeCell ref="B30:F30"/>
    <mergeCell ref="B32:F32"/>
    <mergeCell ref="B33:F33"/>
  </mergeCell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1EA8-5CA7-854A-89BC-3F071DAE9AA2}">
  <sheetPr codeName="Sheet9"/>
  <dimension ref="A1:J38"/>
  <sheetViews>
    <sheetView workbookViewId="0">
      <selection activeCell="K8" sqref="K8"/>
    </sheetView>
  </sheetViews>
  <sheetFormatPr baseColWidth="10" defaultColWidth="10.83203125" defaultRowHeight="16" x14ac:dyDescent="0.2"/>
  <cols>
    <col min="1" max="1" width="2" customWidth="1"/>
    <col min="2" max="2" width="33.1640625" customWidth="1"/>
    <col min="3" max="3" width="12.1640625" bestFit="1" customWidth="1"/>
    <col min="5" max="6" width="19.6640625" bestFit="1" customWidth="1"/>
    <col min="7" max="7" width="22.83203125" customWidth="1"/>
    <col min="8" max="8" width="2.5" customWidth="1"/>
    <col min="9" max="9" width="0" hidden="1" customWidth="1"/>
  </cols>
  <sheetData>
    <row r="1" spans="1:9" ht="29" x14ac:dyDescent="0.35">
      <c r="A1" s="424" t="s">
        <v>230</v>
      </c>
      <c r="B1" s="425"/>
      <c r="C1" s="425"/>
      <c r="D1" s="425"/>
      <c r="E1" s="425"/>
      <c r="F1" s="425"/>
      <c r="G1" s="425"/>
      <c r="H1" s="65"/>
    </row>
    <row r="2" spans="1:9" x14ac:dyDescent="0.2">
      <c r="A2" s="453"/>
      <c r="B2" s="169"/>
      <c r="C2" s="169"/>
      <c r="D2" s="169"/>
      <c r="E2" s="169"/>
      <c r="F2" s="169"/>
      <c r="G2" s="169"/>
      <c r="H2" s="65"/>
    </row>
    <row r="3" spans="1:9" x14ac:dyDescent="0.2">
      <c r="A3" s="453"/>
      <c r="B3" s="170"/>
      <c r="C3" s="171" t="s">
        <v>167</v>
      </c>
      <c r="D3" s="171" t="s">
        <v>168</v>
      </c>
      <c r="E3" s="171" t="s">
        <v>198</v>
      </c>
      <c r="F3" s="171" t="s">
        <v>199</v>
      </c>
      <c r="G3" s="171" t="s">
        <v>200</v>
      </c>
      <c r="H3" s="65"/>
    </row>
    <row r="4" spans="1:9" ht="19" x14ac:dyDescent="0.25">
      <c r="A4" s="453"/>
      <c r="B4" s="205" t="s">
        <v>170</v>
      </c>
      <c r="C4" s="483"/>
      <c r="D4" s="484"/>
      <c r="E4" s="484"/>
      <c r="F4" s="484"/>
      <c r="G4" s="485"/>
      <c r="H4" s="65"/>
    </row>
    <row r="5" spans="1:9" x14ac:dyDescent="0.2">
      <c r="A5" s="453"/>
      <c r="B5" s="202" t="s">
        <v>267</v>
      </c>
      <c r="C5" s="147">
        <v>1.5</v>
      </c>
      <c r="D5" s="148">
        <v>0.5</v>
      </c>
      <c r="E5" s="148">
        <f>C5-D5</f>
        <v>1</v>
      </c>
      <c r="F5" s="225">
        <f>E5*EngCst</f>
        <v>50</v>
      </c>
      <c r="G5" s="226">
        <f>F5*GWQty</f>
        <v>600</v>
      </c>
      <c r="H5" s="65"/>
      <c r="I5" s="172" t="s">
        <v>171</v>
      </c>
    </row>
    <row r="6" spans="1:9" x14ac:dyDescent="0.2">
      <c r="A6" s="453"/>
      <c r="B6" s="11" t="s">
        <v>269</v>
      </c>
      <c r="C6" s="147">
        <v>3.5</v>
      </c>
      <c r="D6" s="148">
        <v>1</v>
      </c>
      <c r="E6" s="148">
        <f>C6-D6</f>
        <v>2.5</v>
      </c>
      <c r="F6" s="225">
        <f>E6*EngCst</f>
        <v>125</v>
      </c>
      <c r="G6" s="226">
        <f>F6*GWQty</f>
        <v>1500</v>
      </c>
      <c r="H6" s="65"/>
      <c r="I6" s="172"/>
    </row>
    <row r="7" spans="1:9" x14ac:dyDescent="0.2">
      <c r="A7" s="453"/>
      <c r="B7" s="11" t="s">
        <v>268</v>
      </c>
      <c r="C7" s="147">
        <v>3</v>
      </c>
      <c r="D7" s="148">
        <v>1</v>
      </c>
      <c r="E7" s="148">
        <f>C7-D7</f>
        <v>2</v>
      </c>
      <c r="F7" s="225">
        <f>E7*EngCst</f>
        <v>100</v>
      </c>
      <c r="G7" s="226">
        <f>F7*GWQty</f>
        <v>1200</v>
      </c>
      <c r="H7" s="65"/>
      <c r="I7" s="172"/>
    </row>
    <row r="8" spans="1:9" x14ac:dyDescent="0.2">
      <c r="A8" s="453"/>
      <c r="B8" s="203" t="s">
        <v>56</v>
      </c>
      <c r="C8" s="151">
        <v>8</v>
      </c>
      <c r="D8" s="152">
        <v>1</v>
      </c>
      <c r="E8" s="152">
        <f>C8-D8</f>
        <v>7</v>
      </c>
      <c r="F8" s="227">
        <f>E8*EngCst</f>
        <v>350</v>
      </c>
      <c r="G8" s="226">
        <f>F8*GWQty</f>
        <v>4200</v>
      </c>
      <c r="H8" s="65"/>
      <c r="I8" s="228"/>
    </row>
    <row r="9" spans="1:9" x14ac:dyDescent="0.2">
      <c r="A9" s="453"/>
      <c r="B9" s="173"/>
      <c r="C9" s="174"/>
      <c r="D9" s="174"/>
      <c r="E9" s="174"/>
      <c r="F9" s="175"/>
      <c r="G9" s="245"/>
      <c r="H9" s="65"/>
      <c r="I9" s="172"/>
    </row>
    <row r="10" spans="1:9" ht="19" x14ac:dyDescent="0.25">
      <c r="A10" s="453"/>
      <c r="B10" s="487" t="s">
        <v>172</v>
      </c>
      <c r="C10" s="488"/>
      <c r="D10" s="488"/>
      <c r="E10" s="488"/>
      <c r="F10" s="488"/>
      <c r="G10" s="489"/>
      <c r="H10" s="65"/>
      <c r="I10" s="172"/>
    </row>
    <row r="11" spans="1:9" x14ac:dyDescent="0.2">
      <c r="A11" s="453"/>
      <c r="B11" s="490" t="s">
        <v>173</v>
      </c>
      <c r="C11" s="490"/>
      <c r="D11" s="490"/>
      <c r="E11" s="490"/>
      <c r="F11" s="491"/>
      <c r="G11" s="231">
        <f>SUM(G12:G17)</f>
        <v>750</v>
      </c>
      <c r="H11" s="65"/>
      <c r="I11" s="172"/>
    </row>
    <row r="12" spans="1:9" x14ac:dyDescent="0.2">
      <c r="A12" s="453"/>
      <c r="B12" s="176" t="s">
        <v>174</v>
      </c>
      <c r="C12" s="177"/>
      <c r="D12" s="177"/>
      <c r="E12" s="178">
        <f>2*Assumptions!$A$45*0.01</f>
        <v>0.24</v>
      </c>
      <c r="F12" s="232">
        <f t="shared" ref="F12:F19" si="0">E12*EngCst</f>
        <v>12</v>
      </c>
      <c r="G12" s="234">
        <f t="shared" ref="G12:G19" si="1">F12*GWQty</f>
        <v>144</v>
      </c>
      <c r="H12" s="65"/>
      <c r="I12" s="172" t="s">
        <v>201</v>
      </c>
    </row>
    <row r="13" spans="1:9" x14ac:dyDescent="0.2">
      <c r="A13" s="453"/>
      <c r="B13" s="176" t="s">
        <v>202</v>
      </c>
      <c r="C13" s="177"/>
      <c r="D13" s="177"/>
      <c r="E13" s="178">
        <f>1*Assumptions!$A$45*0.01</f>
        <v>0.12</v>
      </c>
      <c r="F13" s="232">
        <f t="shared" si="0"/>
        <v>6</v>
      </c>
      <c r="G13" s="234">
        <f t="shared" si="1"/>
        <v>72</v>
      </c>
      <c r="H13" s="65"/>
      <c r="I13" s="172" t="s">
        <v>203</v>
      </c>
    </row>
    <row r="14" spans="1:9" x14ac:dyDescent="0.2">
      <c r="A14" s="453"/>
      <c r="B14" s="176" t="s">
        <v>204</v>
      </c>
      <c r="C14" s="177"/>
      <c r="D14" s="177"/>
      <c r="E14" s="178">
        <f>2*Assumptions!$A$46*0.05*2</f>
        <v>0.60000000000000009</v>
      </c>
      <c r="F14" s="232">
        <f t="shared" si="0"/>
        <v>30.000000000000004</v>
      </c>
      <c r="G14" s="234">
        <f t="shared" si="1"/>
        <v>360.00000000000006</v>
      </c>
      <c r="H14" s="65"/>
      <c r="I14" s="172" t="s">
        <v>205</v>
      </c>
    </row>
    <row r="15" spans="1:9" x14ac:dyDescent="0.2">
      <c r="A15" s="453"/>
      <c r="B15" s="176" t="s">
        <v>206</v>
      </c>
      <c r="C15" s="177"/>
      <c r="D15" s="177"/>
      <c r="E15" s="178">
        <f>4*Assumptions!$A$46*0.01</f>
        <v>0.12</v>
      </c>
      <c r="F15" s="232">
        <f t="shared" si="0"/>
        <v>6</v>
      </c>
      <c r="G15" s="234">
        <f t="shared" si="1"/>
        <v>72</v>
      </c>
      <c r="H15" s="65"/>
      <c r="I15" s="172" t="s">
        <v>207</v>
      </c>
    </row>
    <row r="16" spans="1:9" x14ac:dyDescent="0.2">
      <c r="A16" s="453"/>
      <c r="B16" s="176" t="s">
        <v>208</v>
      </c>
      <c r="C16" s="177"/>
      <c r="D16" s="177"/>
      <c r="E16" s="179">
        <f>4*Assumptions!$A$46*0.01</f>
        <v>0.12</v>
      </c>
      <c r="F16" s="232">
        <f t="shared" si="0"/>
        <v>6</v>
      </c>
      <c r="G16" s="234">
        <f t="shared" si="1"/>
        <v>72</v>
      </c>
      <c r="H16" s="65"/>
      <c r="I16" s="172" t="s">
        <v>207</v>
      </c>
    </row>
    <row r="17" spans="1:10" x14ac:dyDescent="0.2">
      <c r="A17" s="453"/>
      <c r="B17" s="176" t="s">
        <v>209</v>
      </c>
      <c r="C17" s="177"/>
      <c r="D17" s="177"/>
      <c r="E17" s="179">
        <f>5*0.01</f>
        <v>0.05</v>
      </c>
      <c r="F17" s="232">
        <f t="shared" si="0"/>
        <v>2.5</v>
      </c>
      <c r="G17" s="237">
        <f t="shared" si="1"/>
        <v>30</v>
      </c>
      <c r="H17" s="65"/>
      <c r="I17" s="172" t="s">
        <v>210</v>
      </c>
    </row>
    <row r="18" spans="1:10" x14ac:dyDescent="0.2">
      <c r="A18" s="453"/>
      <c r="B18" s="180" t="s">
        <v>188</v>
      </c>
      <c r="C18" s="181">
        <f>0.166*4</f>
        <v>0.66400000000000003</v>
      </c>
      <c r="D18" s="182">
        <f>C18/10</f>
        <v>6.6400000000000001E-2</v>
      </c>
      <c r="E18" s="181">
        <f>C18-D18</f>
        <v>0.59760000000000002</v>
      </c>
      <c r="F18" s="246">
        <f t="shared" si="0"/>
        <v>29.880000000000003</v>
      </c>
      <c r="G18" s="247">
        <f t="shared" si="1"/>
        <v>358.56000000000006</v>
      </c>
      <c r="H18" s="65"/>
      <c r="I18" s="172" t="s">
        <v>190</v>
      </c>
    </row>
    <row r="19" spans="1:10" x14ac:dyDescent="0.2">
      <c r="A19" s="453"/>
      <c r="B19" s="183" t="s">
        <v>192</v>
      </c>
      <c r="C19" s="184">
        <v>1</v>
      </c>
      <c r="D19" s="184">
        <f>C19/10</f>
        <v>0.1</v>
      </c>
      <c r="E19" s="184">
        <f>C19-D19</f>
        <v>0.9</v>
      </c>
      <c r="F19" s="248">
        <f t="shared" si="0"/>
        <v>45</v>
      </c>
      <c r="G19" s="247">
        <f t="shared" si="1"/>
        <v>540</v>
      </c>
      <c r="H19" s="65"/>
      <c r="I19" s="172" t="s">
        <v>211</v>
      </c>
    </row>
    <row r="20" spans="1:10" x14ac:dyDescent="0.2">
      <c r="A20" s="453"/>
      <c r="B20" s="173"/>
      <c r="C20" s="173"/>
      <c r="D20" s="173"/>
      <c r="E20" s="173"/>
      <c r="F20" s="249"/>
      <c r="G20" s="250"/>
      <c r="H20" s="65"/>
      <c r="I20" s="172"/>
    </row>
    <row r="21" spans="1:10" x14ac:dyDescent="0.2">
      <c r="A21" s="453"/>
      <c r="B21" s="492" t="s">
        <v>194</v>
      </c>
      <c r="C21" s="490"/>
      <c r="D21" s="490"/>
      <c r="E21" s="490"/>
      <c r="F21" s="491"/>
      <c r="G21" s="238">
        <f>SUM(G22:G24)</f>
        <v>2287.3734533786774</v>
      </c>
      <c r="H21" s="65"/>
      <c r="I21" s="172"/>
    </row>
    <row r="22" spans="1:10" x14ac:dyDescent="0.2">
      <c r="A22" s="453"/>
      <c r="B22" s="198" t="s">
        <v>195</v>
      </c>
      <c r="C22" s="200"/>
      <c r="D22" s="200"/>
      <c r="E22" s="200"/>
      <c r="F22" s="163"/>
      <c r="G22" s="234">
        <f>((JNPRTkt/(1-Ticket)*AvgUsrImp*(1-Solve)*DisScpEmp*AvgUsrRte)*GWPcnt)/Term</f>
        <v>1216.6880071163177</v>
      </c>
      <c r="H22" s="65"/>
      <c r="I22" s="172" t="s">
        <v>212</v>
      </c>
    </row>
    <row r="23" spans="1:10" x14ac:dyDescent="0.2">
      <c r="A23" s="453"/>
      <c r="B23" s="198" t="s">
        <v>263</v>
      </c>
      <c r="C23" s="200"/>
      <c r="D23" s="200"/>
      <c r="E23" s="200"/>
      <c r="F23" s="201"/>
      <c r="G23" s="234">
        <f>(((JNPRTkt/(1-Ticket)*AvgUsrImp*(1-Solve)*DisScp*QalLstVis)*GWPcnt)/Term)</f>
        <v>97.33504056930542</v>
      </c>
      <c r="H23" s="65"/>
      <c r="I23" s="172"/>
    </row>
    <row r="24" spans="1:10" x14ac:dyDescent="0.2">
      <c r="A24" s="453"/>
      <c r="B24" s="164" t="s">
        <v>264</v>
      </c>
      <c r="C24" s="165"/>
      <c r="D24" s="165"/>
      <c r="E24" s="165"/>
      <c r="F24" s="166"/>
      <c r="G24" s="237">
        <f>(((JNPRTkt/(1-Ticket)*AvgUsrImp*(1-Solve)*PctTktBiz*BizImpHr)*GWPcnt)/Term)</f>
        <v>973.3504056930542</v>
      </c>
      <c r="H24" s="65"/>
      <c r="I24" s="172" t="s">
        <v>213</v>
      </c>
    </row>
    <row r="25" spans="1:10" x14ac:dyDescent="0.2">
      <c r="A25" s="453"/>
      <c r="B25" s="173"/>
      <c r="C25" s="173"/>
      <c r="D25" s="173"/>
      <c r="E25" s="173"/>
      <c r="F25" s="173"/>
      <c r="G25" s="185"/>
      <c r="H25" s="65"/>
    </row>
    <row r="26" spans="1:10" x14ac:dyDescent="0.2">
      <c r="A26" s="453"/>
      <c r="B26" s="173"/>
      <c r="C26" s="173"/>
      <c r="D26" s="173"/>
      <c r="E26" s="173"/>
      <c r="F26" s="173"/>
      <c r="G26" s="185"/>
      <c r="H26" s="65"/>
      <c r="I26" s="15"/>
    </row>
    <row r="27" spans="1:10" x14ac:dyDescent="0.2">
      <c r="A27" s="453"/>
      <c r="B27" s="477" t="s">
        <v>232</v>
      </c>
      <c r="C27" s="478"/>
      <c r="D27" s="478"/>
      <c r="E27" s="478"/>
      <c r="F27" s="478"/>
      <c r="G27" s="251">
        <f>G5+G8+G11+SUM(G18:G21)</f>
        <v>8735.9334533786769</v>
      </c>
      <c r="H27" s="65"/>
      <c r="J27" s="222"/>
    </row>
    <row r="28" spans="1:10" x14ac:dyDescent="0.2">
      <c r="A28" s="453"/>
      <c r="B28" s="472" t="str">
        <f>IF(Term&gt;1,"Savings for year 2","")</f>
        <v>Savings for year 2</v>
      </c>
      <c r="C28" s="473"/>
      <c r="D28" s="473"/>
      <c r="E28" s="473"/>
      <c r="F28" s="473"/>
      <c r="G28" s="252">
        <f>IF(Term&gt;1,G11+SUM(G18:G21),"")</f>
        <v>3935.9334533786773</v>
      </c>
      <c r="H28" s="65"/>
    </row>
    <row r="29" spans="1:10" x14ac:dyDescent="0.2">
      <c r="A29" s="453"/>
      <c r="B29" s="472" t="str">
        <f>IF(Term&gt;=3,"Savings for year 3","")</f>
        <v>Savings for year 3</v>
      </c>
      <c r="C29" s="473"/>
      <c r="D29" s="473"/>
      <c r="E29" s="473"/>
      <c r="F29" s="473"/>
      <c r="G29" s="252">
        <f>IF(Term&gt;=3,G28,"")</f>
        <v>3935.9334533786773</v>
      </c>
      <c r="H29" s="65"/>
    </row>
    <row r="30" spans="1:10" x14ac:dyDescent="0.2">
      <c r="A30" s="453"/>
      <c r="B30" s="472" t="str">
        <f>IF(Term&gt;3,"Savings for year 4","")</f>
        <v/>
      </c>
      <c r="C30" s="473"/>
      <c r="D30" s="473"/>
      <c r="E30" s="473"/>
      <c r="F30" s="473"/>
      <c r="G30" s="252" t="str">
        <f>IF(Term&gt;3,G28,"")</f>
        <v/>
      </c>
      <c r="H30" s="65"/>
    </row>
    <row r="31" spans="1:10" x14ac:dyDescent="0.2">
      <c r="A31" s="453"/>
      <c r="B31" s="472" t="str">
        <f>IF(Term&gt;3,"Savings for year 5","")</f>
        <v/>
      </c>
      <c r="C31" s="473"/>
      <c r="D31" s="473"/>
      <c r="E31" s="473"/>
      <c r="F31" s="473"/>
      <c r="G31" s="252" t="str">
        <f>IF(Term&gt;3,G28,"")</f>
        <v/>
      </c>
      <c r="H31" s="65"/>
    </row>
    <row r="32" spans="1:10" ht="21" x14ac:dyDescent="0.25">
      <c r="A32" s="453"/>
      <c r="B32" s="486" t="str">
        <f>"["&amp;Term&amp;"] YEAR SAVINGS "</f>
        <v xml:space="preserve">[3] YEAR SAVINGS </v>
      </c>
      <c r="C32" s="486"/>
      <c r="D32" s="486"/>
      <c r="E32" s="486"/>
      <c r="F32" s="204" t="s">
        <v>38</v>
      </c>
      <c r="G32" s="253"/>
      <c r="H32" s="9"/>
      <c r="I32" s="14"/>
    </row>
    <row r="33" spans="1:9" x14ac:dyDescent="0.2">
      <c r="A33" s="453"/>
      <c r="B33" s="479" t="s">
        <v>237</v>
      </c>
      <c r="C33" s="479"/>
      <c r="D33" s="479"/>
      <c r="E33" s="479"/>
      <c r="F33" s="206">
        <f>IF(OR(GWPcnt=0,JNPRHW=0),0,G33/(JNPRHW*GWPcnt))</f>
        <v>2.5593763966704448</v>
      </c>
      <c r="G33" s="243">
        <f>SUM(G27:G31)</f>
        <v>16607.800360136032</v>
      </c>
      <c r="H33" s="9"/>
      <c r="I33" s="14"/>
    </row>
    <row r="34" spans="1:9" x14ac:dyDescent="0.2">
      <c r="A34" s="9"/>
      <c r="B34" s="479" t="s">
        <v>236</v>
      </c>
      <c r="C34" s="479"/>
      <c r="D34" s="479"/>
      <c r="E34" s="479"/>
      <c r="F34" s="206">
        <f>IF(OR(APPcnt=0,JNPRHW=0),0,G34/(JNPRHW*APPcnt))</f>
        <v>6.7438617175395228</v>
      </c>
      <c r="G34" s="243">
        <f>'Wireless Assurance'!G51</f>
        <v>494994.76540088654</v>
      </c>
      <c r="H34" s="9"/>
      <c r="I34" s="14"/>
    </row>
    <row r="35" spans="1:9" x14ac:dyDescent="0.2">
      <c r="A35" s="9"/>
      <c r="B35" s="479" t="s">
        <v>235</v>
      </c>
      <c r="C35" s="479"/>
      <c r="D35" s="479"/>
      <c r="E35" s="479"/>
      <c r="F35" s="206">
        <f>IF(OR(SWPcnt=0,JNPRHW=0),0,G35/(JNPRHW*SWPcnt))</f>
        <v>8.524796484993292</v>
      </c>
      <c r="G35" s="243">
        <f>'Wired Assurance'!G36</f>
        <v>171448.11896637082</v>
      </c>
      <c r="H35" s="9"/>
    </row>
    <row r="36" spans="1:9" s="210" customFormat="1" ht="19" x14ac:dyDescent="0.25">
      <c r="A36" s="141"/>
      <c r="B36" s="480" t="s">
        <v>169</v>
      </c>
      <c r="C36" s="481"/>
      <c r="D36" s="481"/>
      <c r="E36" s="482"/>
      <c r="F36" s="209">
        <f>IF(JNPRHW=0,0,G36/(JNPRHW-(JNPRHW*OthPcnt)))</f>
        <v>6.8305068472739334</v>
      </c>
      <c r="G36" s="242">
        <f>SUM(G33:G35)</f>
        <v>683050.68472739332</v>
      </c>
      <c r="H36" s="141"/>
    </row>
    <row r="37" spans="1:9" x14ac:dyDescent="0.2">
      <c r="A37" s="9"/>
      <c r="B37" s="9"/>
      <c r="C37" s="9"/>
      <c r="D37" s="9"/>
      <c r="E37" s="9"/>
      <c r="F37" s="9"/>
      <c r="G37" s="9"/>
      <c r="H37" s="9"/>
    </row>
    <row r="38" spans="1:9" x14ac:dyDescent="0.2">
      <c r="A38" s="9"/>
      <c r="B38" s="9"/>
      <c r="C38" s="9"/>
      <c r="D38" s="9"/>
      <c r="E38" s="9"/>
      <c r="F38" s="9"/>
      <c r="G38" s="9"/>
      <c r="H38" s="9"/>
    </row>
  </sheetData>
  <sheetProtection sheet="1" formatColumns="0" selectLockedCells="1"/>
  <mergeCells count="16">
    <mergeCell ref="B35:E35"/>
    <mergeCell ref="B36:E36"/>
    <mergeCell ref="B34:E34"/>
    <mergeCell ref="A1:G1"/>
    <mergeCell ref="A2:A33"/>
    <mergeCell ref="C4:G4"/>
    <mergeCell ref="B32:E32"/>
    <mergeCell ref="B33:E33"/>
    <mergeCell ref="B30:F30"/>
    <mergeCell ref="B31:F31"/>
    <mergeCell ref="B10:G10"/>
    <mergeCell ref="B11:F11"/>
    <mergeCell ref="B21:F21"/>
    <mergeCell ref="B27:F27"/>
    <mergeCell ref="B28:F28"/>
    <mergeCell ref="B29:F29"/>
  </mergeCells>
  <pageMargins left="0.7" right="0.7" top="0.75" bottom="0.75" header="0.3" footer="0.3"/>
  <pageSetup orientation="portrait" verticalDpi="0" r:id="rId1"/>
  <headerFooter>
    <oddFooter>&amp;C&amp;1#&amp;"Calibri"&amp;7&amp;K000000Juniper Business Use Only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Forrester TCO</vt:lpstr>
      <vt:lpstr>Pictures worth 1000 words</vt:lpstr>
      <vt:lpstr>Cost Breakdown</vt:lpstr>
      <vt:lpstr>Monthly Recurring</vt:lpstr>
      <vt:lpstr>MRR-Estimator</vt:lpstr>
      <vt:lpstr>Aditional Revenue Streams</vt:lpstr>
      <vt:lpstr>Assumptions</vt:lpstr>
      <vt:lpstr>Chart Worksheet</vt:lpstr>
      <vt:lpstr>Wireless Assurance</vt:lpstr>
      <vt:lpstr>Wired Assurance</vt:lpstr>
      <vt:lpstr>WAN Assurance</vt:lpstr>
      <vt:lpstr>APAmt</vt:lpstr>
      <vt:lpstr>APAnlSub</vt:lpstr>
      <vt:lpstr>APIoTSuB</vt:lpstr>
      <vt:lpstr>APLocDen</vt:lpstr>
      <vt:lpstr>APLocSub</vt:lpstr>
      <vt:lpstr>APPcnt</vt:lpstr>
      <vt:lpstr>APQty</vt:lpstr>
      <vt:lpstr>AvgLANPPR</vt:lpstr>
      <vt:lpstr>AvgSWPrt</vt:lpstr>
      <vt:lpstr>AvgSWPUse</vt:lpstr>
      <vt:lpstr>AvgTktSlv</vt:lpstr>
      <vt:lpstr>AvgUsrImp</vt:lpstr>
      <vt:lpstr>AvgUsrRte</vt:lpstr>
      <vt:lpstr>AvgWANPPR</vt:lpstr>
      <vt:lpstr>BizImpHr</vt:lpstr>
      <vt:lpstr>CMPTkt</vt:lpstr>
      <vt:lpstr>CustInstall</vt:lpstr>
      <vt:lpstr>CustMgmt</vt:lpstr>
      <vt:lpstr>Deploy</vt:lpstr>
      <vt:lpstr>DisScp</vt:lpstr>
      <vt:lpstr>DisScpEmp</vt:lpstr>
      <vt:lpstr>DisScpVis</vt:lpstr>
      <vt:lpstr>EduPct</vt:lpstr>
      <vt:lpstr>EngCst</vt:lpstr>
      <vt:lpstr>EngineerCost</vt:lpstr>
      <vt:lpstr>GWPcnt</vt:lpstr>
      <vt:lpstr>GWQty</vt:lpstr>
      <vt:lpstr>Install</vt:lpstr>
      <vt:lpstr>IntPct</vt:lpstr>
      <vt:lpstr>IOverhead</vt:lpstr>
      <vt:lpstr>JHDWMrg</vt:lpstr>
      <vt:lpstr>JIMPMrg</vt:lpstr>
      <vt:lpstr>JMGTMrg</vt:lpstr>
      <vt:lpstr>JNPRHW</vt:lpstr>
      <vt:lpstr>JNPRTkt</vt:lpstr>
      <vt:lpstr>LANPPR</vt:lpstr>
      <vt:lpstr>LessVisits</vt:lpstr>
      <vt:lpstr>Management</vt:lpstr>
      <vt:lpstr>MOverhead</vt:lpstr>
      <vt:lpstr>NaaSPct</vt:lpstr>
      <vt:lpstr>OnSite</vt:lpstr>
      <vt:lpstr>OthPcnt</vt:lpstr>
      <vt:lpstr>OthQty</vt:lpstr>
      <vt:lpstr>PcntPrtUse</vt:lpstr>
      <vt:lpstr>PctTktBiz</vt:lpstr>
      <vt:lpstr>QalLstVis</vt:lpstr>
      <vt:lpstr>Solve</vt:lpstr>
      <vt:lpstr>SWAmt</vt:lpstr>
      <vt:lpstr>SWPcnt</vt:lpstr>
      <vt:lpstr>SWQty</vt:lpstr>
      <vt:lpstr>Term</vt:lpstr>
      <vt:lpstr>Ticket</vt:lpstr>
      <vt:lpstr>TotCompMgt</vt:lpstr>
      <vt:lpstr>TotJNPRMgt</vt:lpstr>
      <vt:lpstr>TotSWPrt</vt:lpstr>
      <vt:lpstr>TravelCst</vt:lpstr>
      <vt:lpstr>Visits</vt:lpstr>
      <vt:lpstr>WANPcnt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Juniper Competitive TCO Tool</dc:title>
  <dc:subject/>
  <dc:creator>Pete Fitzgerald</dc:creator>
  <cp:keywords/>
  <dc:description/>
  <cp:lastModifiedBy>Pete Fitzgerald</cp:lastModifiedBy>
  <dcterms:created xsi:type="dcterms:W3CDTF">2022-06-15T21:12:38Z</dcterms:created>
  <dcterms:modified xsi:type="dcterms:W3CDTF">2025-08-05T23:03:57Z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33b888-ae0d-4341-a75f-06e04137d755_Enabled">
    <vt:lpwstr>true</vt:lpwstr>
  </property>
  <property fmtid="{D5CDD505-2E9C-101B-9397-08002B2CF9AE}" pid="3" name="MSIP_Label_0633b888-ae0d-4341-a75f-06e04137d755_SetDate">
    <vt:lpwstr>2022-12-19T23:05:07Z</vt:lpwstr>
  </property>
  <property fmtid="{D5CDD505-2E9C-101B-9397-08002B2CF9AE}" pid="4" name="MSIP_Label_0633b888-ae0d-4341-a75f-06e04137d755_Method">
    <vt:lpwstr>Standard</vt:lpwstr>
  </property>
  <property fmtid="{D5CDD505-2E9C-101B-9397-08002B2CF9AE}" pid="5" name="MSIP_Label_0633b888-ae0d-4341-a75f-06e04137d755_Name">
    <vt:lpwstr>0633b888-ae0d-4341-a75f-06e04137d755</vt:lpwstr>
  </property>
  <property fmtid="{D5CDD505-2E9C-101B-9397-08002B2CF9AE}" pid="6" name="MSIP_Label_0633b888-ae0d-4341-a75f-06e04137d755_SiteId">
    <vt:lpwstr>bea78b3c-4cdb-4130-854a-1d193232e5f4</vt:lpwstr>
  </property>
  <property fmtid="{D5CDD505-2E9C-101B-9397-08002B2CF9AE}" pid="7" name="MSIP_Label_0633b888-ae0d-4341-a75f-06e04137d755_ActionId">
    <vt:lpwstr>644dced7-5d72-4a38-8318-6d0ae23c64de</vt:lpwstr>
  </property>
  <property fmtid="{D5CDD505-2E9C-101B-9397-08002B2CF9AE}" pid="8" name="MSIP_Label_0633b888-ae0d-4341-a75f-06e04137d755_ContentBits">
    <vt:lpwstr>2</vt:lpwstr>
  </property>
</Properties>
</file>