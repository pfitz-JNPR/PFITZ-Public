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pfitzgerald/Documents/Tools/MRR Calculator/"/>
    </mc:Choice>
  </mc:AlternateContent>
  <xr:revisionPtr revIDLastSave="0" documentId="13_ncr:1_{9702D854-092D-BE49-9245-B78C0B2DFEDE}" xr6:coauthVersionLast="47" xr6:coauthVersionMax="47" xr10:uidLastSave="{00000000-0000-0000-0000-000000000000}"/>
  <bookViews>
    <workbookView xWindow="52420" yWindow="500" windowWidth="49980" windowHeight="26680" xr2:uid="{320F4075-A6D0-CC44-9440-46C5E6E873A9}"/>
  </bookViews>
  <sheets>
    <sheet name="Summary" sheetId="5" r:id="rId1"/>
    <sheet name="Sheet2" sheetId="8" r:id="rId2"/>
    <sheet name="Sheet1" sheetId="7" r:id="rId3"/>
  </sheets>
  <definedNames>
    <definedName name="Economies">Summary!$D$7</definedName>
    <definedName name="ImpPcnt">Summary!$H$2</definedName>
    <definedName name="Margin">Summary!$D$4</definedName>
    <definedName name="MarginEquipment">Summary!$D$6</definedName>
    <definedName name="MarginInstall">Summary!$D$5</definedName>
    <definedName name="MRC">Summary!$L$3</definedName>
    <definedName name="MRR">Summary!$L$4</definedName>
    <definedName name="OpPcntYr">Summary!$H$3</definedName>
    <definedName name="OTC">Summary!#REF!</definedName>
    <definedName name="PMPcnt">Summary!$H$4</definedName>
    <definedName name="Risk">Summary!#REF!</definedName>
    <definedName name="SKUPre">Summary!#REF!</definedName>
    <definedName name="TargetMargin">Summary!#REF!</definedName>
    <definedName name="Term">Summary!$D$2</definedName>
    <definedName name="Type">Summary!$D$3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 i="5" l="1"/>
  <c r="K10" i="5"/>
  <c r="C10" i="5"/>
  <c r="N4" i="8"/>
  <c r="N6" i="8" s="1"/>
  <c r="I10" i="8"/>
  <c r="G11" i="8"/>
  <c r="H11" i="8" s="1"/>
  <c r="G12" i="8"/>
  <c r="H12" i="8" s="1"/>
  <c r="G14" i="8"/>
  <c r="H14" i="8" s="1"/>
  <c r="G15" i="8"/>
  <c r="H15" i="8" s="1"/>
  <c r="G16" i="8"/>
  <c r="H16" i="8" s="1"/>
  <c r="G17" i="8"/>
  <c r="H17" i="8" s="1"/>
  <c r="I18" i="8"/>
  <c r="G20" i="8"/>
  <c r="H20" i="8" s="1"/>
  <c r="G21" i="8"/>
  <c r="H21" i="8" s="1"/>
  <c r="G23" i="8"/>
  <c r="H23" i="8" s="1"/>
  <c r="G24" i="8"/>
  <c r="H24" i="8" s="1"/>
  <c r="G25" i="8"/>
  <c r="H25" i="8" s="1"/>
  <c r="G26" i="8"/>
  <c r="H26" i="8" s="1"/>
  <c r="G27" i="8"/>
  <c r="H27" i="8" s="1"/>
  <c r="M10" i="8" l="1"/>
  <c r="O10" i="8" s="1"/>
  <c r="M18" i="8"/>
  <c r="O18" i="8" s="1"/>
  <c r="I13" i="8"/>
  <c r="M13" i="8"/>
  <c r="O13" i="8" s="1"/>
  <c r="I19" i="8"/>
  <c r="M19" i="8" s="1"/>
  <c r="O19" i="8" s="1"/>
  <c r="I22" i="8"/>
  <c r="M22" i="8" s="1"/>
  <c r="O22" i="8" s="1"/>
  <c r="E3" i="8" l="1"/>
  <c r="E10" i="5" s="1"/>
  <c r="E5" i="8"/>
  <c r="H10" i="5" s="1"/>
  <c r="K4" i="8"/>
  <c r="K6" i="8" s="1"/>
  <c r="E11" i="5"/>
  <c r="C11" i="5"/>
  <c r="E3" i="7"/>
  <c r="N4" i="7"/>
  <c r="N6" i="7" s="1"/>
  <c r="M10" i="7" s="1"/>
  <c r="O10" i="7" s="1"/>
  <c r="I10" i="7"/>
  <c r="G11" i="7"/>
  <c r="H11" i="7" s="1"/>
  <c r="G12" i="7"/>
  <c r="H12" i="7" s="1"/>
  <c r="G14" i="7"/>
  <c r="H14" i="7" s="1"/>
  <c r="G15" i="7"/>
  <c r="H15" i="7" s="1"/>
  <c r="G16" i="7"/>
  <c r="H16" i="7" s="1"/>
  <c r="G17" i="7"/>
  <c r="H17" i="7" s="1"/>
  <c r="G18" i="7"/>
  <c r="H18" i="7" s="1"/>
  <c r="G19" i="7"/>
  <c r="H19" i="7" s="1"/>
  <c r="I20" i="7"/>
  <c r="G22" i="7"/>
  <c r="H22" i="7" s="1"/>
  <c r="G23" i="7"/>
  <c r="H23" i="7" s="1"/>
  <c r="G25" i="7"/>
  <c r="H25" i="7" s="1"/>
  <c r="G26" i="7"/>
  <c r="H26" i="7" s="1"/>
  <c r="G27" i="7"/>
  <c r="H27" i="7" s="1"/>
  <c r="G28" i="7"/>
  <c r="H28" i="7" s="1"/>
  <c r="G29" i="7"/>
  <c r="H29" i="7" s="1"/>
  <c r="J10" i="8" l="1"/>
  <c r="L10" i="8" s="1"/>
  <c r="J13" i="8"/>
  <c r="L13" i="8" s="1"/>
  <c r="P13" i="8" s="1"/>
  <c r="Q13" i="8" s="1"/>
  <c r="J19" i="8"/>
  <c r="L19" i="8" s="1"/>
  <c r="P19" i="8" s="1"/>
  <c r="Q19" i="8" s="1"/>
  <c r="J18" i="8"/>
  <c r="L18" i="8" s="1"/>
  <c r="P18" i="8" s="1"/>
  <c r="Q18" i="8" s="1"/>
  <c r="J22" i="8"/>
  <c r="L22" i="8" s="1"/>
  <c r="P22" i="8" s="1"/>
  <c r="Q22" i="8" s="1"/>
  <c r="I13" i="7"/>
  <c r="M13" i="7"/>
  <c r="O13" i="7" s="1"/>
  <c r="I21" i="7"/>
  <c r="M20" i="7"/>
  <c r="O20" i="7" s="1"/>
  <c r="I24" i="7"/>
  <c r="M24" i="7"/>
  <c r="O24" i="7" s="1"/>
  <c r="E4" i="8" l="1"/>
  <c r="F10" i="5" s="1"/>
  <c r="G10" i="5" s="1"/>
  <c r="P10" i="8"/>
  <c r="Q10" i="8" s="1"/>
  <c r="M21" i="7"/>
  <c r="O21" i="7" s="1"/>
  <c r="K4" i="7"/>
  <c r="K6" i="7" s="1"/>
  <c r="I10" i="5" l="1"/>
  <c r="J10" i="5" s="1"/>
  <c r="J10" i="7"/>
  <c r="L10" i="7" s="1"/>
  <c r="J20" i="7"/>
  <c r="L20" i="7" s="1"/>
  <c r="P20" i="7" s="1"/>
  <c r="Q20" i="7" s="1"/>
  <c r="J13" i="7"/>
  <c r="L13" i="7" s="1"/>
  <c r="P13" i="7" s="1"/>
  <c r="Q13" i="7" s="1"/>
  <c r="J24" i="7"/>
  <c r="L24" i="7" s="1"/>
  <c r="P24" i="7" s="1"/>
  <c r="Q24" i="7" s="1"/>
  <c r="J21" i="7"/>
  <c r="L21" i="7" s="1"/>
  <c r="P21" i="7" s="1"/>
  <c r="Q21" i="7" s="1"/>
  <c r="E5" i="7"/>
  <c r="H11" i="5" s="1"/>
  <c r="E13" i="5"/>
  <c r="E14" i="5" s="1"/>
  <c r="E15" i="5" s="1"/>
  <c r="L10" i="5" l="1"/>
  <c r="E4" i="7"/>
  <c r="F11" i="5" s="1"/>
  <c r="P10" i="7"/>
  <c r="Q10" i="7" s="1"/>
  <c r="H13" i="5"/>
  <c r="H14" i="5" s="1"/>
  <c r="H15" i="5" s="1"/>
  <c r="G11" i="5" l="1"/>
  <c r="F13" i="5"/>
  <c r="F14" i="5" s="1"/>
  <c r="F15" i="5" s="1"/>
  <c r="I11" i="5" l="1"/>
  <c r="J11" i="5" s="1"/>
  <c r="L11" i="5" s="1"/>
  <c r="L13" i="5" s="1"/>
  <c r="G13" i="5"/>
  <c r="G14" i="5" s="1"/>
  <c r="G15" i="5" s="1"/>
  <c r="I13" i="5"/>
  <c r="K13" i="5"/>
  <c r="L2" i="5"/>
  <c r="L4" i="5" s="1"/>
  <c r="J13" i="5" l="1"/>
  <c r="L3" i="5" s="1"/>
  <c r="L5" i="5" s="1"/>
  <c r="L14" i="5"/>
</calcChain>
</file>

<file path=xl/sharedStrings.xml><?xml version="1.0" encoding="utf-8"?>
<sst xmlns="http://schemas.openxmlformats.org/spreadsheetml/2006/main" count="148" uniqueCount="89">
  <si>
    <t>QTY</t>
  </si>
  <si>
    <t>Description</t>
  </si>
  <si>
    <t>Equipment</t>
  </si>
  <si>
    <t>Unit</t>
  </si>
  <si>
    <t>Complete</t>
  </si>
  <si>
    <t>Contract Term</t>
  </si>
  <si>
    <t>Implement as % of Equipment</t>
  </si>
  <si>
    <t>Operations</t>
  </si>
  <si>
    <t>Project Management %</t>
  </si>
  <si>
    <t>Target Margin</t>
  </si>
  <si>
    <t>Implementation</t>
  </si>
  <si>
    <t>Total Cost</t>
  </si>
  <si>
    <t>Revenue</t>
  </si>
  <si>
    <t>Profit</t>
  </si>
  <si>
    <t>Economies-of-Scale</t>
  </si>
  <si>
    <t>Monthly Recurring Cost</t>
  </si>
  <si>
    <t>Monthly Recurring Revenue</t>
  </si>
  <si>
    <t>Project Total</t>
  </si>
  <si>
    <t>Proj Mgmt</t>
  </si>
  <si>
    <t>Totals:</t>
  </si>
  <si>
    <t>Control R to pull in a Juniper Configurator BoM</t>
  </si>
  <si>
    <t>Operations as % Equipment / Year</t>
  </si>
  <si>
    <t>AIOps / NaaS</t>
  </si>
  <si>
    <t>Install</t>
  </si>
  <si>
    <t>Managed</t>
  </si>
  <si>
    <t>Project Margin</t>
  </si>
  <si>
    <t>Margin</t>
  </si>
  <si>
    <t>GPM%</t>
  </si>
  <si>
    <t>Equipment Total</t>
  </si>
  <si>
    <t>Implementation Total</t>
  </si>
  <si>
    <t>Operations Total</t>
  </si>
  <si>
    <t>Base %:</t>
  </si>
  <si>
    <t>Risk %:</t>
  </si>
  <si>
    <t>Total %:</t>
  </si>
  <si>
    <t>Additional Items</t>
  </si>
  <si>
    <t>SUB-2S-3Y</t>
  </si>
  <si>
    <t>Subscriptions for 2 services (specify from SUB-MAN, SUB-ENG, SUB-AST, SUB-VNA, SUB-PMA) for one access point for 3 years: includesupgrades, cloud function subscriptions and limited lifetime warranty benefits on indoor access points SUBCOMPONENT PARTS Subscriptions for 2 services (SUB-MAN-BND, SUB-VNA-BND)</t>
  </si>
  <si>
    <t>AP45E-US</t>
  </si>
  <si>
    <t>Premium Performance MultiGigabit WiFi 6E Access Point (4x4:4) with Adaptive Bluetooth Low Energy Array for Advanced Location based services, with External Antenna adaptor - US only; Universal Mounting Bracket is included;</t>
  </si>
  <si>
    <t>MIST</t>
  </si>
  <si>
    <t>S-WAN-VNA-1G-3</t>
  </si>
  <si>
    <t>SW,Virtual Network Assistant Subscription for gateway operations, REQUIRES WAN Assurance for SSN enabled at 1Gbps, includes software updates, upgrades and enhancements on the VNA service for WAN, with SVC Customer Support, 3 year</t>
  </si>
  <si>
    <t>S-WAN-P2-1G-H-3</t>
  </si>
  <si>
    <t>WAN Assurance Subscription for SSN Premium Tier (P2/SSR) with 1Gbps throughput, high availability redundant node, includes gateway insights and SLEs, software updates and upgrades for cloud subscription, 3 YEAR</t>
  </si>
  <si>
    <t>S-WAN-P2-1G-3</t>
  </si>
  <si>
    <t>WAN Assurance Subscription for SSN Premium Tier (P2/SSR) with 1Gbps throughput, includes gateway insights and SLEs, software updates and upgrades for cloud subscription, 3 YEAR</t>
  </si>
  <si>
    <t>S-SSN-P2-1G-H-3</t>
  </si>
  <si>
    <t>Session Smart Networking Software, Premium 2, Session Smart Router(SSR) single instance,1Gbps maximum throughput, High availability- redundant node, with SVC Customer Support, 3 YEAR</t>
  </si>
  <si>
    <t>S-SSN-P2-1G-3</t>
  </si>
  <si>
    <t>Session Smart Networking Software, Premium 2, Session Smart Router(SSR) single instance,1Gbps maximum throughput with SVC Customer Support, 3 YEAR</t>
  </si>
  <si>
    <t>SSR130</t>
  </si>
  <si>
    <t>SSR130 HW only (16GB RAM, 120GB SSD, 2x1G combo RJ45/SFP, 6x1G RJ45) without LTE (Check for homologation certs). SSN SW subscription license, optics &amp;#38; rackmounts sold separately</t>
  </si>
  <si>
    <t>Session Smart Networking</t>
  </si>
  <si>
    <t>SUB-EX48-2S-3Y-COR</t>
  </si>
  <si>
    <t>3 Year Wired Assurance and Virtual Network Assistant (VNA) Subscription for EX48 port switches including JTAC Support; Juniper CareCore Support for EX2300, EX4100-F, EX3400, EX4100, EX4300, EX4400 24 ports switches.</t>
  </si>
  <si>
    <t>EX4100-48MP</t>
  </si>
  <si>
    <t>EX4100 48-Port Multi-Gig with 32 x 1G, 16 x 1G/2.5G PoE++, 4x 10G SFP+ Uplink ports, 4x 25G SFP28 Stacking/Uplink ports, redundant fans, 1 AC PSU JPSU-920-AC-AFO included (optics sold separately) with Standard SW. TAA Compliant.</t>
  </si>
  <si>
    <t>Quantity</t>
  </si>
  <si>
    <t>SKU</t>
  </si>
  <si>
    <t>Discount</t>
  </si>
  <si>
    <t>List</t>
  </si>
  <si>
    <t>Cost</t>
  </si>
  <si>
    <t>Ext Cost</t>
  </si>
  <si>
    <t>Total</t>
  </si>
  <si>
    <t>Calculated</t>
  </si>
  <si>
    <t>Override</t>
  </si>
  <si>
    <t>Implmentation</t>
  </si>
  <si>
    <t>Year</t>
  </si>
  <si>
    <t>Extended</t>
  </si>
  <si>
    <t>Per Unit</t>
  </si>
  <si>
    <t>Totals</t>
  </si>
  <si>
    <t>5 Years</t>
  </si>
  <si>
    <t>Large Site</t>
  </si>
  <si>
    <t>AP45-US</t>
  </si>
  <si>
    <t>Premium Performance MultiGigabit WiFi 6E Access Point (4x4:4) with Adaptive Bluetooth Low Energy Array for Advanced Location based services, with built in Internal Antenna - US only; Universal Mounting Bracket is included;</t>
  </si>
  <si>
    <t>S-WAN-VNA-10M-3</t>
  </si>
  <si>
    <t>SW,Virtual Network Assistant Subscription for gateway operations, REQUIRES WAN Assurance for SSN enabled at 10Mbps, includes software updates, upgrades and enhancements on the VNA service for WAN, with SVC Customer Support, 3 year</t>
  </si>
  <si>
    <t>S-WAN-P1-10M-3</t>
  </si>
  <si>
    <t>SW, WAN Assurance Subscription for SSN Premium Tier (P1/SSR) with 10Mbps throughput, includes gateway insights and SLEs, software updates and upgrades for cloud subscription,3 year</t>
  </si>
  <si>
    <t>S-SSN-P1-10M-3</t>
  </si>
  <si>
    <t>Session Smart Networking Software, Premium 1, Session Smart Router (SSR) single instance, 10Mbps maximum throughput, with SVC Customer Support, 3 YEAR</t>
  </si>
  <si>
    <t>SSR120</t>
  </si>
  <si>
    <t>SSR120 HW only (8GB RAM, 120GB SSD, 2x1G combo RJ45/SFP, 4x1G RJ45) without LTE (Check for homologation certs). SSN SW subscriptionlicense, optics &amp;#38; rackmounts sold separately</t>
  </si>
  <si>
    <t>SUB-EX12-2S-3Y-COR</t>
  </si>
  <si>
    <t>3 Year Wired Assurance and Virtual Network Assistant (VNA) Subscription for EX12 port switches including JTAC Support; Juniper CareCore Support for EX2300, EX4100-F 12 port switches.</t>
  </si>
  <si>
    <t>EX2300-C-12P</t>
  </si>
  <si>
    <t>EX2300 Compact Fanless 12-port 10/100/1000BaseT PoE+, 2 x 1/10G SFP/SFP+ (optics sold separately)</t>
  </si>
  <si>
    <t>Small Site</t>
  </si>
  <si>
    <t>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</si>
</sst>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8" x14ac:knownFonts="1">
    <font>
      <sz val="12"/>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b/>
      <sz val="20"/>
      <color theme="0"/>
      <name val="Calibri"/>
      <family val="2"/>
      <scheme val="minor"/>
    </font>
    <font>
      <b/>
      <u/>
      <sz val="12"/>
      <color theme="0"/>
      <name val="Calibri"/>
      <family val="2"/>
      <scheme val="minor"/>
    </font>
    <font>
      <sz val="12"/>
      <color theme="9"/>
      <name val="Calibri"/>
      <family val="2"/>
      <scheme val="minor"/>
    </font>
    <font>
      <sz val="12"/>
      <color rgb="FF000000"/>
      <name val="Calibri"/>
      <family val="2"/>
      <scheme val="minor"/>
    </font>
  </fonts>
  <fills count="6">
    <fill>
      <patternFill patternType="none"/>
    </fill>
    <fill>
      <patternFill patternType="gray125"/>
    </fill>
    <fill>
      <patternFill patternType="solid">
        <fgColor theme="9"/>
        <bgColor indexed="64"/>
      </patternFill>
    </fill>
    <fill>
      <patternFill patternType="solid">
        <fgColor theme="7"/>
        <bgColor indexed="64"/>
      </patternFill>
    </fill>
    <fill>
      <patternFill patternType="solid">
        <fgColor rgb="FFFFC000"/>
        <bgColor indexed="64"/>
      </patternFill>
    </fill>
    <fill>
      <patternFill patternType="solid">
        <fgColor theme="0"/>
        <bgColor indexed="64"/>
      </patternFill>
    </fill>
  </fills>
  <borders count="25">
    <border>
      <left/>
      <right/>
      <top/>
      <bottom/>
      <diagonal/>
    </border>
    <border>
      <left style="medium">
        <color indexed="64"/>
      </left>
      <right style="medium">
        <color indexed="64"/>
      </right>
      <top style="medium">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style="medium">
        <color theme="0"/>
      </right>
      <top/>
      <bottom/>
      <diagonal/>
    </border>
    <border>
      <left style="medium">
        <color theme="0"/>
      </left>
      <right style="medium">
        <color theme="0"/>
      </right>
      <top/>
      <bottom style="medium">
        <color theme="0"/>
      </bottom>
      <diagonal/>
    </border>
    <border>
      <left/>
      <right/>
      <top/>
      <bottom style="double">
        <color theme="0"/>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style="medium">
        <color theme="0"/>
      </right>
      <top/>
      <bottom style="medium">
        <color theme="0"/>
      </bottom>
      <diagonal/>
    </border>
    <border>
      <left style="thin">
        <color theme="0"/>
      </left>
      <right style="thin">
        <color theme="0"/>
      </right>
      <top style="medium">
        <color theme="0"/>
      </top>
      <bottom style="medium">
        <color theme="0"/>
      </bottom>
      <diagonal/>
    </border>
    <border>
      <left style="medium">
        <color theme="0"/>
      </left>
      <right style="medium">
        <color theme="0"/>
      </right>
      <top/>
      <bottom/>
      <diagonal/>
    </border>
    <border>
      <left style="thin">
        <color theme="0"/>
      </left>
      <right style="thin">
        <color theme="0"/>
      </right>
      <top/>
      <bottom style="medium">
        <color theme="0"/>
      </bottom>
      <diagonal/>
    </border>
    <border>
      <left style="medium">
        <color theme="1"/>
      </left>
      <right style="medium">
        <color theme="1"/>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theme="1"/>
      </left>
      <right style="thin">
        <color indexed="64"/>
      </right>
      <top/>
      <bottom style="medium">
        <color theme="1"/>
      </bottom>
      <diagonal/>
    </border>
    <border>
      <left style="thin">
        <color indexed="64"/>
      </left>
      <right style="thin">
        <color indexed="64"/>
      </right>
      <top/>
      <bottom style="medium">
        <color theme="1"/>
      </bottom>
      <diagonal/>
    </border>
    <border>
      <left style="thin">
        <color indexed="64"/>
      </left>
      <right style="medium">
        <color theme="1"/>
      </right>
      <top/>
      <bottom style="medium">
        <color theme="1"/>
      </bottom>
      <diagonal/>
    </border>
    <border>
      <left style="medium">
        <color theme="1"/>
      </left>
      <right style="medium">
        <color theme="1"/>
      </right>
      <top/>
      <bottom style="medium">
        <color theme="1"/>
      </bottom>
      <diagonal/>
    </border>
    <border>
      <left/>
      <right/>
      <top style="medium">
        <color theme="0"/>
      </top>
      <bottom style="medium">
        <color theme="0"/>
      </bottom>
      <diagonal/>
    </border>
    <border>
      <left/>
      <right/>
      <top/>
      <bottom style="medium">
        <color theme="0"/>
      </bottom>
      <diagonal/>
    </border>
    <border>
      <left/>
      <right/>
      <top style="medium">
        <color theme="0"/>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74">
    <xf numFmtId="0" fontId="0" fillId="0" borderId="0" xfId="0"/>
    <xf numFmtId="0" fontId="3" fillId="2" borderId="0" xfId="0" applyFont="1" applyFill="1"/>
    <xf numFmtId="0" fontId="2" fillId="2" borderId="0" xfId="0" applyFont="1" applyFill="1"/>
    <xf numFmtId="9" fontId="3" fillId="2" borderId="0" xfId="0" applyNumberFormat="1" applyFont="1" applyFill="1" applyAlignment="1">
      <alignment horizontal="center"/>
    </xf>
    <xf numFmtId="0" fontId="2" fillId="2" borderId="0" xfId="0" applyFont="1" applyFill="1" applyAlignment="1">
      <alignment horizontal="center"/>
    </xf>
    <xf numFmtId="0" fontId="0" fillId="3" borderId="1" xfId="0" applyFill="1" applyBorder="1" applyAlignment="1">
      <alignment horizontal="center"/>
    </xf>
    <xf numFmtId="9" fontId="0" fillId="3" borderId="1" xfId="0" applyNumberFormat="1" applyFill="1" applyBorder="1" applyAlignment="1">
      <alignment horizontal="center"/>
    </xf>
    <xf numFmtId="0" fontId="3" fillId="2" borderId="0" xfId="0" applyFont="1" applyFill="1" applyAlignment="1">
      <alignment horizontal="center"/>
    </xf>
    <xf numFmtId="44" fontId="3" fillId="2" borderId="0" xfId="0" applyNumberFormat="1" applyFont="1" applyFill="1"/>
    <xf numFmtId="9" fontId="3" fillId="2" borderId="0" xfId="2" applyFont="1" applyFill="1"/>
    <xf numFmtId="0" fontId="2" fillId="2" borderId="4"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2" xfId="0" applyFont="1" applyFill="1" applyBorder="1"/>
    <xf numFmtId="0" fontId="0" fillId="2" borderId="0" xfId="0" applyFill="1"/>
    <xf numFmtId="0" fontId="0" fillId="2" borderId="0" xfId="0" applyFill="1" applyAlignment="1">
      <alignment horizontal="left"/>
    </xf>
    <xf numFmtId="44" fontId="1" fillId="2" borderId="7" xfId="1" applyFont="1" applyFill="1" applyBorder="1" applyProtection="1"/>
    <xf numFmtId="44" fontId="1" fillId="2" borderId="7" xfId="1" applyFont="1" applyFill="1" applyBorder="1" applyAlignment="1" applyProtection="1">
      <alignment horizontal="center"/>
    </xf>
    <xf numFmtId="0" fontId="0" fillId="2" borderId="7" xfId="0" applyFill="1" applyBorder="1" applyAlignment="1">
      <alignment horizontal="left"/>
    </xf>
    <xf numFmtId="0" fontId="2" fillId="2" borderId="5" xfId="0" applyFont="1" applyFill="1" applyBorder="1"/>
    <xf numFmtId="0" fontId="2" fillId="2" borderId="6" xfId="0" applyFont="1" applyFill="1" applyBorder="1" applyAlignment="1">
      <alignment horizontal="center"/>
    </xf>
    <xf numFmtId="44" fontId="2" fillId="2" borderId="6" xfId="1" applyFont="1" applyFill="1" applyBorder="1"/>
    <xf numFmtId="0" fontId="2" fillId="2" borderId="10" xfId="0" applyFont="1" applyFill="1" applyBorder="1" applyAlignment="1">
      <alignment horizontal="center"/>
    </xf>
    <xf numFmtId="0" fontId="2" fillId="2" borderId="11" xfId="0" applyFont="1" applyFill="1" applyBorder="1" applyAlignment="1">
      <alignment horizontal="center"/>
    </xf>
    <xf numFmtId="0" fontId="3" fillId="2" borderId="0" xfId="0" applyFont="1" applyFill="1" applyAlignment="1">
      <alignment horizontal="left" indent="1"/>
    </xf>
    <xf numFmtId="0" fontId="2" fillId="2" borderId="3" xfId="0" applyFont="1" applyFill="1" applyBorder="1"/>
    <xf numFmtId="0" fontId="0" fillId="4" borderId="1" xfId="0" applyFill="1" applyBorder="1" applyAlignment="1">
      <alignment horizontal="center"/>
    </xf>
    <xf numFmtId="44" fontId="2" fillId="2" borderId="13" xfId="1" applyFont="1" applyFill="1" applyBorder="1"/>
    <xf numFmtId="9" fontId="2" fillId="2" borderId="4" xfId="2" applyFont="1" applyFill="1" applyBorder="1"/>
    <xf numFmtId="44" fontId="2" fillId="2" borderId="3" xfId="1" applyFont="1" applyFill="1" applyBorder="1"/>
    <xf numFmtId="44" fontId="2" fillId="2" borderId="12" xfId="1" applyFont="1" applyFill="1" applyBorder="1"/>
    <xf numFmtId="44" fontId="2" fillId="2" borderId="4" xfId="1" applyFont="1" applyFill="1" applyBorder="1"/>
    <xf numFmtId="9" fontId="2" fillId="2" borderId="10" xfId="2" applyFont="1" applyFill="1" applyBorder="1" applyAlignment="1">
      <alignment horizontal="center"/>
    </xf>
    <xf numFmtId="9" fontId="2" fillId="2" borderId="14" xfId="2" applyFont="1" applyFill="1" applyBorder="1" applyAlignment="1">
      <alignment horizontal="center"/>
    </xf>
    <xf numFmtId="0" fontId="6" fillId="5" borderId="0" xfId="0" applyFont="1" applyFill="1"/>
    <xf numFmtId="0" fontId="6" fillId="5" borderId="0" xfId="0" applyFont="1" applyFill="1" applyAlignment="1">
      <alignment horizontal="left"/>
    </xf>
    <xf numFmtId="9" fontId="6" fillId="5" borderId="0" xfId="2" applyFont="1" applyFill="1" applyAlignment="1"/>
    <xf numFmtId="44" fontId="6" fillId="5" borderId="0" xfId="1" applyFont="1" applyFill="1"/>
    <xf numFmtId="0" fontId="7" fillId="3" borderId="16" xfId="0" applyFont="1" applyFill="1" applyBorder="1" applyAlignment="1">
      <alignment horizontal="left"/>
    </xf>
    <xf numFmtId="9" fontId="7" fillId="3" borderId="16" xfId="2" applyFont="1" applyFill="1" applyBorder="1" applyAlignment="1"/>
    <xf numFmtId="44" fontId="7" fillId="3" borderId="17" xfId="1" applyFont="1" applyFill="1" applyBorder="1"/>
    <xf numFmtId="0" fontId="7" fillId="3" borderId="18" xfId="0" applyFont="1" applyFill="1" applyBorder="1" applyAlignment="1">
      <alignment horizontal="left"/>
    </xf>
    <xf numFmtId="0" fontId="7" fillId="3" borderId="19" xfId="0" applyFont="1" applyFill="1" applyBorder="1" applyAlignment="1">
      <alignment horizontal="left"/>
    </xf>
    <xf numFmtId="9" fontId="7" fillId="3" borderId="19" xfId="2" applyFont="1" applyFill="1" applyBorder="1" applyAlignment="1"/>
    <xf numFmtId="44" fontId="7" fillId="3" borderId="20" xfId="1" applyFont="1" applyFill="1" applyBorder="1"/>
    <xf numFmtId="0" fontId="7" fillId="5" borderId="0" xfId="0" applyFont="1" applyFill="1"/>
    <xf numFmtId="0" fontId="7" fillId="5" borderId="0" xfId="0" applyFont="1" applyFill="1" applyAlignment="1">
      <alignment horizontal="left"/>
    </xf>
    <xf numFmtId="44" fontId="7" fillId="5" borderId="0" xfId="1" applyFont="1" applyFill="1"/>
    <xf numFmtId="0" fontId="7" fillId="3" borderId="15" xfId="0" applyFont="1" applyFill="1" applyBorder="1" applyAlignment="1" applyProtection="1">
      <alignment horizontal="left"/>
      <protection locked="0"/>
    </xf>
    <xf numFmtId="44" fontId="0" fillId="3" borderId="15" xfId="1" applyFont="1" applyFill="1" applyBorder="1" applyProtection="1">
      <protection locked="0"/>
    </xf>
    <xf numFmtId="7" fontId="6" fillId="5" borderId="0" xfId="1" applyNumberFormat="1" applyFont="1" applyFill="1"/>
    <xf numFmtId="0" fontId="7" fillId="3" borderId="21" xfId="0" applyFont="1" applyFill="1" applyBorder="1" applyAlignment="1" applyProtection="1">
      <alignment horizontal="left"/>
      <protection locked="0"/>
    </xf>
    <xf numFmtId="44" fontId="0" fillId="3" borderId="21" xfId="1" applyFont="1" applyFill="1" applyBorder="1" applyProtection="1">
      <protection locked="0"/>
    </xf>
    <xf numFmtId="9" fontId="0" fillId="5" borderId="0" xfId="2" applyFont="1" applyFill="1" applyAlignment="1">
      <alignment horizontal="center"/>
    </xf>
    <xf numFmtId="44" fontId="0" fillId="3" borderId="21" xfId="1" applyFont="1" applyFill="1" applyBorder="1" applyAlignment="1" applyProtection="1">
      <protection locked="0"/>
    </xf>
    <xf numFmtId="0" fontId="2" fillId="2" borderId="22" xfId="0" applyFont="1" applyFill="1" applyBorder="1" applyAlignment="1">
      <alignment horizontal="center"/>
    </xf>
    <xf numFmtId="0" fontId="2" fillId="2" borderId="23" xfId="0" applyFont="1" applyFill="1" applyBorder="1" applyAlignment="1">
      <alignment horizontal="center"/>
    </xf>
    <xf numFmtId="44" fontId="0" fillId="5" borderId="0" xfId="1" applyFont="1" applyFill="1"/>
    <xf numFmtId="9" fontId="0" fillId="3" borderId="15" xfId="2" applyFont="1" applyFill="1" applyBorder="1" applyAlignment="1">
      <alignment horizontal="center"/>
    </xf>
    <xf numFmtId="44" fontId="1" fillId="5" borderId="0" xfId="1" applyFont="1" applyFill="1" applyBorder="1" applyProtection="1"/>
    <xf numFmtId="44" fontId="1" fillId="5" borderId="0" xfId="1" applyFont="1" applyFill="1" applyBorder="1" applyAlignment="1" applyProtection="1">
      <alignment horizontal="center"/>
    </xf>
    <xf numFmtId="0" fontId="2" fillId="2" borderId="2" xfId="0" applyFont="1" applyFill="1" applyBorder="1" applyAlignment="1">
      <alignment horizontal="center"/>
    </xf>
    <xf numFmtId="0" fontId="2" fillId="2" borderId="8" xfId="0" applyFont="1" applyFill="1" applyBorder="1" applyAlignment="1">
      <alignment horizontal="center"/>
    </xf>
    <xf numFmtId="0" fontId="2" fillId="2" borderId="9" xfId="0" applyFont="1" applyFill="1" applyBorder="1" applyAlignment="1">
      <alignment horizontal="center"/>
    </xf>
    <xf numFmtId="0" fontId="2" fillId="2" borderId="0" xfId="0" applyFont="1" applyFill="1" applyAlignment="1">
      <alignment horizontal="left"/>
    </xf>
    <xf numFmtId="0" fontId="2" fillId="2" borderId="0" xfId="0" applyFont="1" applyFill="1" applyAlignment="1">
      <alignment horizontal="center"/>
    </xf>
    <xf numFmtId="0" fontId="4" fillId="2" borderId="0" xfId="0" applyFont="1" applyFill="1" applyAlignment="1">
      <alignment horizontal="center" vertical="center"/>
    </xf>
    <xf numFmtId="0" fontId="5" fillId="2" borderId="0" xfId="0" applyFont="1" applyFill="1" applyAlignment="1">
      <alignment horizontal="center"/>
    </xf>
    <xf numFmtId="0" fontId="2" fillId="2" borderId="23" xfId="0" applyFont="1" applyFill="1" applyBorder="1" applyAlignment="1">
      <alignment horizontal="center"/>
    </xf>
    <xf numFmtId="0" fontId="7" fillId="3" borderId="21" xfId="0" applyFont="1" applyFill="1" applyBorder="1" applyAlignment="1" applyProtection="1">
      <protection locked="0"/>
    </xf>
    <xf numFmtId="0" fontId="0" fillId="2" borderId="0" xfId="0" applyFont="1" applyFill="1" applyProtection="1"/>
    <xf numFmtId="0" fontId="0" fillId="5" borderId="0" xfId="0" applyFont="1" applyFill="1" applyBorder="1" applyAlignment="1" applyProtection="1">
      <alignment horizontal="left"/>
    </xf>
    <xf numFmtId="0" fontId="0" fillId="5" borderId="24" xfId="0" applyFont="1" applyFill="1" applyBorder="1" applyAlignment="1" applyProtection="1">
      <alignment horizontal="left"/>
    </xf>
    <xf numFmtId="0" fontId="0" fillId="5" borderId="22" xfId="0" applyFont="1" applyFill="1" applyBorder="1" applyAlignment="1" applyProtection="1">
      <alignment horizontal="left"/>
    </xf>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23925-E472-4349-9654-2666254F9A84}">
  <sheetPr codeName="Sheet1"/>
  <dimension ref="B1:M20"/>
  <sheetViews>
    <sheetView tabSelected="1" zoomScale="194" zoomScaleNormal="194" workbookViewId="0">
      <selection activeCell="K10" sqref="K10"/>
    </sheetView>
  </sheetViews>
  <sheetFormatPr baseColWidth="10" defaultRowHeight="16" x14ac:dyDescent="0.2"/>
  <cols>
    <col min="1" max="1" width="1.83203125" style="1" customWidth="1"/>
    <col min="2" max="3" width="10.83203125" style="1"/>
    <col min="4" max="4" width="32.5" style="1" customWidth="1"/>
    <col min="5" max="5" width="16" style="1" customWidth="1"/>
    <col min="6" max="6" width="14.83203125" style="1" bestFit="1" customWidth="1"/>
    <col min="7" max="7" width="19" style="1" customWidth="1"/>
    <col min="8" max="8" width="21.1640625" style="1" bestFit="1" customWidth="1"/>
    <col min="9" max="9" width="16.33203125" style="1" customWidth="1"/>
    <col min="10" max="10" width="18.5" style="1" customWidth="1"/>
    <col min="11" max="12" width="16" style="1" bestFit="1" customWidth="1"/>
    <col min="13" max="13" width="11.5" style="1" bestFit="1" customWidth="1"/>
    <col min="14" max="16384" width="10.83203125" style="1"/>
  </cols>
  <sheetData>
    <row r="1" spans="2:13" ht="17" thickBot="1" x14ac:dyDescent="0.25"/>
    <row r="2" spans="2:13" ht="17" thickBot="1" x14ac:dyDescent="0.25">
      <c r="B2" s="2" t="s">
        <v>5</v>
      </c>
      <c r="C2" s="2"/>
      <c r="D2" s="5" t="s">
        <v>71</v>
      </c>
      <c r="E2" s="7"/>
      <c r="F2" s="64" t="s">
        <v>6</v>
      </c>
      <c r="G2" s="64"/>
      <c r="H2" s="6">
        <v>0.2</v>
      </c>
      <c r="J2" s="64" t="s">
        <v>17</v>
      </c>
      <c r="K2" s="64"/>
      <c r="L2" s="8">
        <f>SUM(K9:K12)</f>
        <v>215387.47873303166</v>
      </c>
    </row>
    <row r="3" spans="2:13" ht="17" thickBot="1" x14ac:dyDescent="0.25">
      <c r="B3" s="2" t="s">
        <v>9</v>
      </c>
      <c r="C3" s="2"/>
      <c r="D3" s="26" t="s">
        <v>24</v>
      </c>
      <c r="E3" s="3"/>
      <c r="F3" s="64" t="s">
        <v>21</v>
      </c>
      <c r="G3" s="64"/>
      <c r="H3" s="6">
        <v>0.4</v>
      </c>
      <c r="J3" s="2" t="s">
        <v>15</v>
      </c>
      <c r="K3" s="2"/>
      <c r="L3" s="8">
        <f>(J13)/(LEFT(Term,1)*12)</f>
        <v>2593.4819999999995</v>
      </c>
    </row>
    <row r="4" spans="2:13" ht="17" thickBot="1" x14ac:dyDescent="0.25">
      <c r="B4" s="24" t="s">
        <v>22</v>
      </c>
      <c r="C4" s="2"/>
      <c r="D4" s="6">
        <v>0.35</v>
      </c>
      <c r="E4" s="3"/>
      <c r="F4" s="64" t="s">
        <v>8</v>
      </c>
      <c r="G4" s="64"/>
      <c r="H4" s="6">
        <v>0.1</v>
      </c>
      <c r="J4" s="2" t="s">
        <v>16</v>
      </c>
      <c r="K4" s="2"/>
      <c r="L4" s="8">
        <f>((L2)/((LEFT(Term,1)*12)))*(1-Economies)</f>
        <v>3589.7913122171944</v>
      </c>
      <c r="M4" s="8"/>
    </row>
    <row r="5" spans="2:13" ht="17" thickBot="1" x14ac:dyDescent="0.25">
      <c r="B5" s="24" t="s">
        <v>23</v>
      </c>
      <c r="C5" s="2"/>
      <c r="D5" s="6">
        <v>0.35</v>
      </c>
      <c r="E5" s="3"/>
      <c r="J5" s="2" t="s">
        <v>25</v>
      </c>
      <c r="K5" s="2"/>
      <c r="L5" s="9">
        <f>IF(MRR&lt;&gt;0,(MRR-MRC)/MRR,0)</f>
        <v>0.27753961875901795</v>
      </c>
    </row>
    <row r="6" spans="2:13" ht="17" thickBot="1" x14ac:dyDescent="0.25">
      <c r="B6" s="24" t="s">
        <v>2</v>
      </c>
      <c r="C6" s="2"/>
      <c r="D6" s="6">
        <v>0.15</v>
      </c>
      <c r="E6" s="3"/>
      <c r="J6" s="2"/>
      <c r="K6" s="2"/>
      <c r="L6" s="9"/>
    </row>
    <row r="7" spans="2:13" ht="17" thickBot="1" x14ac:dyDescent="0.25">
      <c r="B7" s="2" t="s">
        <v>14</v>
      </c>
      <c r="C7" s="2"/>
      <c r="D7" s="6">
        <v>0</v>
      </c>
    </row>
    <row r="8" spans="2:13" s="2" customFormat="1" ht="17" thickBot="1" x14ac:dyDescent="0.25">
      <c r="C8" s="4"/>
      <c r="D8" s="4"/>
      <c r="F8" s="65"/>
      <c r="G8" s="65"/>
      <c r="I8" s="62" t="s">
        <v>11</v>
      </c>
      <c r="J8" s="63"/>
    </row>
    <row r="9" spans="2:13" s="2" customFormat="1" ht="17" thickBot="1" x14ac:dyDescent="0.25">
      <c r="B9" s="11" t="s">
        <v>0</v>
      </c>
      <c r="C9" s="61" t="s">
        <v>1</v>
      </c>
      <c r="D9" s="61"/>
      <c r="E9" s="13" t="s">
        <v>2</v>
      </c>
      <c r="F9" s="13" t="s">
        <v>10</v>
      </c>
      <c r="G9" s="11" t="s">
        <v>18</v>
      </c>
      <c r="H9" s="12" t="s">
        <v>7</v>
      </c>
      <c r="I9" s="22" t="s">
        <v>3</v>
      </c>
      <c r="J9" s="23" t="s">
        <v>4</v>
      </c>
      <c r="K9" s="10" t="s">
        <v>12</v>
      </c>
      <c r="L9" s="11" t="s">
        <v>13</v>
      </c>
    </row>
    <row r="10" spans="2:13" s="70" customFormat="1" ht="17" thickBot="1" x14ac:dyDescent="0.25">
      <c r="B10" s="71">
        <v>2</v>
      </c>
      <c r="C10" s="73" t="str">
        <f>Sheet2!A1</f>
        <v>Small Site</v>
      </c>
      <c r="D10" s="73"/>
      <c r="E10" s="59">
        <f>Sheet2!E3</f>
        <v>21926.999999999996</v>
      </c>
      <c r="F10" s="59">
        <f>Sheet2!E4</f>
        <v>3801</v>
      </c>
      <c r="G10" s="60">
        <f>F10*PMPcnt</f>
        <v>380.1</v>
      </c>
      <c r="H10" s="60">
        <f>Sheet2!E5</f>
        <v>15510</v>
      </c>
      <c r="I10" s="60">
        <f>SUM(E10:H10)</f>
        <v>41618.099999999991</v>
      </c>
      <c r="J10" s="60">
        <f>I10*B10</f>
        <v>83236.199999999983</v>
      </c>
      <c r="K10" s="60">
        <f>(IF(Type = "NaaS", J10/(1-Margin), (H10/(1-Margin))+(G10/(1-MarginInstall))+(F10/(1-MarginInstall))+(E10/(1-MarginEquipment))))*B10</f>
        <v>112180.94117647057</v>
      </c>
      <c r="L10" s="60">
        <f>K10-J10</f>
        <v>28944.74117647059</v>
      </c>
    </row>
    <row r="11" spans="2:13" s="70" customFormat="1" x14ac:dyDescent="0.2">
      <c r="B11" s="71">
        <v>1</v>
      </c>
      <c r="C11" s="72" t="str">
        <f>Sheet1!A1</f>
        <v>Large Site</v>
      </c>
      <c r="D11" s="72"/>
      <c r="E11" s="59">
        <f>Sheet1!E3</f>
        <v>22476</v>
      </c>
      <c r="F11" s="59">
        <f>Sheet1!E4</f>
        <v>4495.2</v>
      </c>
      <c r="G11" s="60">
        <f>F11*PMPcnt</f>
        <v>449.52</v>
      </c>
      <c r="H11" s="60">
        <f>Sheet1!E5</f>
        <v>44952</v>
      </c>
      <c r="I11" s="60">
        <f>SUM(E11:H11)</f>
        <v>72372.72</v>
      </c>
      <c r="J11" s="60">
        <f>I11*B11</f>
        <v>72372.72</v>
      </c>
      <c r="K11" s="60">
        <f>(IF(Type = "NaaS", J11/(1-Margin), (H11/(1-Margin))+(G11/(1-MarginInstall))+(F11/(1-MarginInstall))+(E11/(1-MarginEquipment))))*B11</f>
        <v>103206.5375565611</v>
      </c>
      <c r="L11" s="60">
        <f>K11-J11</f>
        <v>30833.817556561102</v>
      </c>
    </row>
    <row r="12" spans="2:13" s="14" customFormat="1" ht="1" customHeight="1" thickBot="1" x14ac:dyDescent="0.25">
      <c r="B12" s="15"/>
      <c r="C12" s="15"/>
      <c r="D12" s="18"/>
      <c r="E12" s="16"/>
      <c r="F12" s="16"/>
      <c r="G12" s="17"/>
      <c r="H12" s="17"/>
      <c r="I12" s="17"/>
      <c r="J12" s="17"/>
      <c r="K12" s="17"/>
      <c r="L12" s="17"/>
    </row>
    <row r="13" spans="2:13" s="2" customFormat="1" ht="18" thickTop="1" thickBot="1" x14ac:dyDescent="0.25">
      <c r="C13" s="19"/>
      <c r="D13" s="20" t="s">
        <v>19</v>
      </c>
      <c r="E13" s="27">
        <f>SUMPRODUCT(E9:E12,$B9:$B12)</f>
        <v>66330</v>
      </c>
      <c r="F13" s="27">
        <f>SUMPRODUCT(F9:F12,$B9:$B12)</f>
        <v>12097.2</v>
      </c>
      <c r="G13" s="27">
        <f>SUMPRODUCT(G9:G12,$B9:$B12)</f>
        <v>1209.72</v>
      </c>
      <c r="H13" s="27">
        <f>SUMPRODUCT(H9:H12,$B9:$B12)</f>
        <v>75972</v>
      </c>
      <c r="I13" s="21">
        <f>SUM(I9:I12)</f>
        <v>113990.81999999999</v>
      </c>
      <c r="J13" s="21">
        <f>SUM(J9:J12)</f>
        <v>155608.91999999998</v>
      </c>
      <c r="K13" s="21">
        <f>SUM(K9:K12)</f>
        <v>215387.47873303166</v>
      </c>
      <c r="L13" s="21">
        <f>SUM(L9:L12)</f>
        <v>59778.558733031692</v>
      </c>
    </row>
    <row r="14" spans="2:13" ht="17" thickBot="1" x14ac:dyDescent="0.25">
      <c r="D14" s="11" t="s">
        <v>13</v>
      </c>
      <c r="E14" s="29">
        <f>IF(Type="NaaS",E13/(1-Margin),E13/(1-MarginEquipment))</f>
        <v>78035.294117647063</v>
      </c>
      <c r="F14" s="30">
        <f>IF(Type="NaaS",F13/(1-Margin),F13/(1-MarginInstall))</f>
        <v>18611.076923076922</v>
      </c>
      <c r="G14" s="30">
        <f>IF(Type="NaaS",G13/(1-Margin),G13/(1-MarginInstall))</f>
        <v>1861.1076923076923</v>
      </c>
      <c r="H14" s="31">
        <f>IF(Type="NaaS",H13/(1-Margin),H13/(1-MarginInstall))</f>
        <v>116880</v>
      </c>
      <c r="K14" s="25" t="s">
        <v>26</v>
      </c>
      <c r="L14" s="28">
        <f>IF(K13&gt;0,L13/K13,0)</f>
        <v>0.27753961875901795</v>
      </c>
    </row>
    <row r="15" spans="2:13" ht="17" thickBot="1" x14ac:dyDescent="0.25">
      <c r="D15" s="20" t="s">
        <v>27</v>
      </c>
      <c r="E15" s="32">
        <f>IF(E14&gt;0,(E14-E13)/E14,0)</f>
        <v>0.15000000000000005</v>
      </c>
      <c r="F15" s="33">
        <f>IF(F14&gt;0,(F14-F13)/F14,0)</f>
        <v>0.34999999999999992</v>
      </c>
      <c r="G15" s="33">
        <f>IF(G14&gt;0,(G14-G13)/G14,0)</f>
        <v>0.35</v>
      </c>
      <c r="H15" s="33">
        <f>IF(H14&gt;0,(H14-H13)/H14,0)</f>
        <v>0.35</v>
      </c>
    </row>
    <row r="20" spans="2:2" x14ac:dyDescent="0.2">
      <c r="B20" s="1" t="s">
        <v>20</v>
      </c>
    </row>
  </sheetData>
  <mergeCells count="7">
    <mergeCell ref="C9:D9"/>
    <mergeCell ref="I8:J8"/>
    <mergeCell ref="F2:G2"/>
    <mergeCell ref="J2:K2"/>
    <mergeCell ref="F8:G8"/>
    <mergeCell ref="F3:G3"/>
    <mergeCell ref="F4:G4"/>
  </mergeCells>
  <dataValidations count="2">
    <dataValidation type="list" allowBlank="1" showInputMessage="1" showErrorMessage="1" sqref="D2:E2" xr:uid="{42A08DF0-9AB9-4B4F-BFFD-78EF2C6FB6E1}">
      <formula1>"1 Year, 3 Years, 5 Years"</formula1>
    </dataValidation>
    <dataValidation type="list" allowBlank="1" showInputMessage="1" showErrorMessage="1" sqref="D3" xr:uid="{0EFC1EB2-1044-1A42-833B-73ACF1D62A80}">
      <formula1>"NaaS, Managed"</formula1>
    </dataValidation>
  </dataValidations>
  <pageMargins left="0.7" right="0.7" top="0.75" bottom="0.75" header="0.3" footer="0.3"/>
  <headerFooter>
    <oddFooter>&amp;C_x000D_&amp;1#&amp;"Calibri"&amp;7&amp;K000000 Juniper Business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8C166-42B0-9444-BB6F-0DEE327F3C47}">
  <dimension ref="A1:Q27"/>
  <sheetViews>
    <sheetView zoomScale="140" zoomScaleNormal="140" workbookViewId="0">
      <selection activeCell="D27" sqref="D27"/>
    </sheetView>
  </sheetViews>
  <sheetFormatPr baseColWidth="10" defaultRowHeight="16" x14ac:dyDescent="0.2"/>
  <cols>
    <col min="1" max="1" width="5.83203125" style="1" customWidth="1"/>
    <col min="2" max="3" width="15.83203125" style="1" customWidth="1"/>
    <col min="4" max="4" width="45.83203125" style="1" customWidth="1"/>
    <col min="5" max="17" width="15.83203125" style="1" customWidth="1"/>
    <col min="18" max="16384" width="10.83203125" style="1"/>
  </cols>
  <sheetData>
    <row r="1" spans="1:17" x14ac:dyDescent="0.2">
      <c r="A1" s="66" t="s">
        <v>87</v>
      </c>
      <c r="B1" s="66"/>
      <c r="C1" s="66"/>
      <c r="D1" s="66"/>
      <c r="E1" s="66"/>
      <c r="F1" s="66"/>
      <c r="G1" s="66"/>
      <c r="H1" s="66"/>
      <c r="I1" s="66"/>
      <c r="J1" s="66"/>
      <c r="K1" s="66"/>
      <c r="L1" s="66"/>
      <c r="M1" s="66"/>
      <c r="N1" s="66"/>
      <c r="O1" s="66"/>
      <c r="P1" s="66"/>
      <c r="Q1" s="66"/>
    </row>
    <row r="2" spans="1:17" x14ac:dyDescent="0.2">
      <c r="A2" s="66"/>
      <c r="B2" s="66"/>
      <c r="C2" s="66"/>
      <c r="D2" s="66"/>
      <c r="E2" s="66"/>
      <c r="F2" s="66"/>
      <c r="G2" s="66"/>
      <c r="H2" s="66"/>
      <c r="I2" s="66"/>
      <c r="J2" s="66"/>
      <c r="K2" s="66"/>
      <c r="L2" s="66"/>
      <c r="M2" s="66"/>
      <c r="N2" s="66"/>
      <c r="O2" s="66"/>
      <c r="P2" s="66"/>
      <c r="Q2" s="66"/>
    </row>
    <row r="3" spans="1:17" x14ac:dyDescent="0.2">
      <c r="D3" s="2" t="s">
        <v>28</v>
      </c>
      <c r="E3" s="57">
        <f>SUM(I9:I2000)</f>
        <v>21926.999999999996</v>
      </c>
      <c r="J3" s="67" t="s">
        <v>10</v>
      </c>
      <c r="K3" s="67"/>
      <c r="L3" s="67"/>
      <c r="M3" s="67" t="s">
        <v>7</v>
      </c>
      <c r="N3" s="67"/>
      <c r="O3" s="67"/>
    </row>
    <row r="4" spans="1:17" ht="17" thickBot="1" x14ac:dyDescent="0.25">
      <c r="D4" s="2" t="s">
        <v>29</v>
      </c>
      <c r="E4" s="57">
        <f>SUM(L9:L2000)</f>
        <v>3801</v>
      </c>
      <c r="J4" s="1" t="s">
        <v>31</v>
      </c>
      <c r="K4" s="53">
        <f>ImpPcnt</f>
        <v>0.2</v>
      </c>
      <c r="M4" s="1" t="s">
        <v>31</v>
      </c>
      <c r="N4" s="53">
        <f>OpPcntYr</f>
        <v>0.4</v>
      </c>
    </row>
    <row r="5" spans="1:17" ht="17" thickBot="1" x14ac:dyDescent="0.25">
      <c r="D5" s="2" t="s">
        <v>30</v>
      </c>
      <c r="E5" s="57">
        <f>SUM(O9:O2000)</f>
        <v>15510</v>
      </c>
      <c r="J5" s="1" t="s">
        <v>32</v>
      </c>
      <c r="K5" s="58">
        <v>0</v>
      </c>
      <c r="M5" s="1" t="s">
        <v>32</v>
      </c>
      <c r="N5" s="58">
        <v>0</v>
      </c>
    </row>
    <row r="6" spans="1:17" x14ac:dyDescent="0.2">
      <c r="J6" s="1" t="s">
        <v>33</v>
      </c>
      <c r="K6" s="53">
        <f>K5+K4</f>
        <v>0.2</v>
      </c>
      <c r="M6" s="1" t="s">
        <v>33</v>
      </c>
      <c r="N6" s="53">
        <f>N5+N4</f>
        <v>0.4</v>
      </c>
    </row>
    <row r="8" spans="1:17" s="4" customFormat="1" ht="17" thickBot="1" x14ac:dyDescent="0.25">
      <c r="E8" s="68" t="s">
        <v>2</v>
      </c>
      <c r="F8" s="68"/>
      <c r="G8" s="68"/>
      <c r="H8" s="68"/>
      <c r="I8" s="68"/>
      <c r="J8" s="68" t="s">
        <v>69</v>
      </c>
      <c r="K8" s="68"/>
      <c r="L8" s="4" t="s">
        <v>63</v>
      </c>
      <c r="M8" s="56" t="s">
        <v>64</v>
      </c>
      <c r="N8" s="56" t="s">
        <v>65</v>
      </c>
      <c r="O8" s="4" t="s">
        <v>63</v>
      </c>
      <c r="P8" s="68" t="s">
        <v>70</v>
      </c>
      <c r="Q8" s="68"/>
    </row>
    <row r="9" spans="1:17" s="4" customFormat="1" ht="17" thickBot="1" x14ac:dyDescent="0.25">
      <c r="B9" s="12" t="s">
        <v>57</v>
      </c>
      <c r="C9" s="11" t="s">
        <v>58</v>
      </c>
      <c r="D9" s="55" t="s">
        <v>1</v>
      </c>
      <c r="E9" s="12" t="s">
        <v>59</v>
      </c>
      <c r="F9" s="55" t="s">
        <v>60</v>
      </c>
      <c r="G9" s="55" t="s">
        <v>61</v>
      </c>
      <c r="H9" s="55" t="s">
        <v>62</v>
      </c>
      <c r="I9" s="55" t="s">
        <v>63</v>
      </c>
      <c r="J9" s="12" t="s">
        <v>64</v>
      </c>
      <c r="K9" s="55" t="s">
        <v>65</v>
      </c>
      <c r="L9" s="55" t="s">
        <v>66</v>
      </c>
      <c r="M9" s="12" t="s">
        <v>67</v>
      </c>
      <c r="N9" s="55" t="s">
        <v>67</v>
      </c>
      <c r="O9" s="10" t="s">
        <v>7</v>
      </c>
      <c r="P9" s="55" t="s">
        <v>3</v>
      </c>
      <c r="Q9" s="10" t="s">
        <v>68</v>
      </c>
    </row>
    <row r="10" spans="1:17" ht="17" thickBot="1" x14ac:dyDescent="0.25">
      <c r="B10" s="69">
        <v>2</v>
      </c>
      <c r="C10" s="46" t="s">
        <v>85</v>
      </c>
      <c r="D10" s="46"/>
      <c r="E10" s="45"/>
      <c r="F10" s="45"/>
      <c r="G10" s="45"/>
      <c r="H10" s="45"/>
      <c r="I10" s="47">
        <f>(SUM(H11:H12))* (B10)</f>
        <v>1589</v>
      </c>
      <c r="J10" s="47">
        <f>IF(B10=0,0,(I10*$K$6)/(B10))</f>
        <v>158.9</v>
      </c>
      <c r="K10" s="54">
        <v>150</v>
      </c>
      <c r="L10" s="47">
        <f>IF(K10=0,J10*B10,K10*B10)</f>
        <v>300</v>
      </c>
      <c r="M10" s="47">
        <f>IF(B10=0,0,(I10*$N$6)/(B10))</f>
        <v>317.8</v>
      </c>
      <c r="N10" s="54">
        <v>150</v>
      </c>
      <c r="O10" s="47">
        <f>(IF(N10=0,M10*B10,N10*B10))*LEFT(Term,1)</f>
        <v>1500</v>
      </c>
      <c r="P10" s="47">
        <f>IF(B10=0,0,(I10/B10)+(L10/B10)+(O10/B10))</f>
        <v>1694.5</v>
      </c>
      <c r="Q10" s="47">
        <f>P10*B10</f>
        <v>3389</v>
      </c>
    </row>
    <row r="11" spans="1:17" x14ac:dyDescent="0.2">
      <c r="B11" s="35">
        <v>1</v>
      </c>
      <c r="C11" s="35" t="s">
        <v>85</v>
      </c>
      <c r="D11" s="35" t="s">
        <v>86</v>
      </c>
      <c r="E11" s="36">
        <v>0.75</v>
      </c>
      <c r="F11" s="50">
        <v>2184</v>
      </c>
      <c r="G11" s="37">
        <f>F11*(1-E11)</f>
        <v>546</v>
      </c>
      <c r="H11" s="37">
        <f>G11*B11</f>
        <v>546</v>
      </c>
      <c r="I11" s="37"/>
      <c r="J11" s="34"/>
      <c r="K11" s="34"/>
      <c r="L11" s="34"/>
      <c r="M11" s="34"/>
      <c r="N11" s="34"/>
      <c r="O11" s="34"/>
      <c r="P11" s="34"/>
      <c r="Q11" s="34"/>
    </row>
    <row r="12" spans="1:17" ht="17" thickBot="1" x14ac:dyDescent="0.25">
      <c r="B12" s="35">
        <v>1</v>
      </c>
      <c r="C12" s="35" t="s">
        <v>83</v>
      </c>
      <c r="D12" s="35" t="s">
        <v>84</v>
      </c>
      <c r="E12" s="36">
        <v>0.5</v>
      </c>
      <c r="F12" s="50">
        <v>497</v>
      </c>
      <c r="G12" s="37">
        <f>F12*(1-E12)</f>
        <v>248.5</v>
      </c>
      <c r="H12" s="37">
        <f>G12*B12</f>
        <v>248.5</v>
      </c>
      <c r="I12" s="37"/>
      <c r="J12" s="34"/>
      <c r="K12" s="34"/>
      <c r="L12" s="34"/>
      <c r="M12" s="34"/>
      <c r="N12" s="34"/>
      <c r="O12" s="34"/>
      <c r="P12" s="34"/>
      <c r="Q12" s="34"/>
    </row>
    <row r="13" spans="1:17" ht="17" thickBot="1" x14ac:dyDescent="0.25">
      <c r="B13" s="48">
        <v>2</v>
      </c>
      <c r="C13" s="46" t="s">
        <v>52</v>
      </c>
      <c r="D13" s="46"/>
      <c r="E13" s="45"/>
      <c r="F13" s="45"/>
      <c r="G13" s="45"/>
      <c r="H13" s="45"/>
      <c r="I13" s="47">
        <f>(SUM(H14:H17))* (B13)</f>
        <v>3742.9999999999995</v>
      </c>
      <c r="J13" s="47">
        <f>IF(B13=0,0,(I13*$K$6)/(B13))</f>
        <v>374.29999999999995</v>
      </c>
      <c r="K13" s="49">
        <v>250</v>
      </c>
      <c r="L13" s="47">
        <f>IF(K13=0,J13*B13,K13*B13)</f>
        <v>500</v>
      </c>
      <c r="M13" s="47">
        <f>IF(B13=0,0,(I13*$N$6)/(B13))</f>
        <v>748.59999999999991</v>
      </c>
      <c r="N13" s="49">
        <v>200</v>
      </c>
      <c r="O13" s="47">
        <f>(IF(N13=0,M13*B13,N13*B13))*LEFT(Term,1)</f>
        <v>2000</v>
      </c>
      <c r="P13" s="47">
        <f>IF(B13=0,0,(I13/B13)+(L13/B13)+(O13/B13))</f>
        <v>3121.5</v>
      </c>
      <c r="Q13" s="47">
        <f>P13*B13</f>
        <v>6243</v>
      </c>
    </row>
    <row r="14" spans="1:17" x14ac:dyDescent="0.2">
      <c r="B14" s="35">
        <v>1</v>
      </c>
      <c r="C14" s="35" t="s">
        <v>81</v>
      </c>
      <c r="D14" s="35" t="s">
        <v>82</v>
      </c>
      <c r="E14" s="36">
        <v>0.70000000000000007</v>
      </c>
      <c r="F14" s="50">
        <v>3300</v>
      </c>
      <c r="G14" s="37">
        <f>F14*(1-E14)</f>
        <v>989.99999999999977</v>
      </c>
      <c r="H14" s="37">
        <f>G14*B14</f>
        <v>989.99999999999977</v>
      </c>
      <c r="I14" s="37"/>
      <c r="J14" s="34"/>
      <c r="K14" s="34"/>
      <c r="L14" s="34"/>
      <c r="M14" s="34"/>
      <c r="N14" s="34"/>
      <c r="O14" s="34"/>
      <c r="P14" s="34"/>
      <c r="Q14" s="34"/>
    </row>
    <row r="15" spans="1:17" x14ac:dyDescent="0.2">
      <c r="B15" s="35">
        <v>1</v>
      </c>
      <c r="C15" s="35" t="s">
        <v>79</v>
      </c>
      <c r="D15" s="35" t="s">
        <v>80</v>
      </c>
      <c r="E15" s="36">
        <v>0.75</v>
      </c>
      <c r="F15" s="50">
        <v>1954</v>
      </c>
      <c r="G15" s="37">
        <f>F15*(1-E15)</f>
        <v>488.5</v>
      </c>
      <c r="H15" s="37">
        <f>G15*B15</f>
        <v>488.5</v>
      </c>
      <c r="I15" s="37"/>
      <c r="J15" s="34"/>
      <c r="K15" s="34"/>
      <c r="L15" s="34"/>
      <c r="M15" s="34"/>
      <c r="N15" s="34"/>
      <c r="O15" s="34"/>
      <c r="P15" s="34"/>
      <c r="Q15" s="34"/>
    </row>
    <row r="16" spans="1:17" x14ac:dyDescent="0.2">
      <c r="B16" s="35">
        <v>1</v>
      </c>
      <c r="C16" s="35" t="s">
        <v>77</v>
      </c>
      <c r="D16" s="35" t="s">
        <v>78</v>
      </c>
      <c r="E16" s="36">
        <v>0.5</v>
      </c>
      <c r="F16" s="50">
        <v>586</v>
      </c>
      <c r="G16" s="37">
        <f>F16*(1-E16)</f>
        <v>293</v>
      </c>
      <c r="H16" s="37">
        <f>G16*B16</f>
        <v>293</v>
      </c>
      <c r="I16" s="37"/>
      <c r="J16" s="34"/>
      <c r="K16" s="34"/>
      <c r="L16" s="34"/>
      <c r="M16" s="34"/>
      <c r="N16" s="34"/>
      <c r="O16" s="34"/>
      <c r="P16" s="34"/>
      <c r="Q16" s="34"/>
    </row>
    <row r="17" spans="2:17" ht="17" thickBot="1" x14ac:dyDescent="0.25">
      <c r="B17" s="35">
        <v>1</v>
      </c>
      <c r="C17" s="35" t="s">
        <v>75</v>
      </c>
      <c r="D17" s="35" t="s">
        <v>76</v>
      </c>
      <c r="E17" s="36">
        <v>0.5</v>
      </c>
      <c r="F17" s="50">
        <v>200</v>
      </c>
      <c r="G17" s="37">
        <f>F17*(1-E17)</f>
        <v>100</v>
      </c>
      <c r="H17" s="37">
        <f>G17*B17</f>
        <v>100</v>
      </c>
      <c r="I17" s="37"/>
      <c r="J17" s="34"/>
      <c r="K17" s="34"/>
      <c r="L17" s="34"/>
      <c r="M17" s="34"/>
      <c r="N17" s="34"/>
      <c r="O17" s="34"/>
      <c r="P17" s="34"/>
      <c r="Q17" s="34"/>
    </row>
    <row r="18" spans="2:17" ht="17" thickBot="1" x14ac:dyDescent="0.25">
      <c r="B18" s="48">
        <v>1</v>
      </c>
      <c r="C18" s="46" t="s">
        <v>39</v>
      </c>
      <c r="D18" s="46"/>
      <c r="E18" s="45"/>
      <c r="F18" s="45"/>
      <c r="G18" s="45"/>
      <c r="H18" s="45"/>
      <c r="I18" s="47">
        <f>(SUM(H18:H19))* (B18)</f>
        <v>0</v>
      </c>
      <c r="J18" s="47">
        <f>IF(B18=0,0,(I18*$K$6)/(B18))</f>
        <v>0</v>
      </c>
      <c r="K18" s="49">
        <v>0</v>
      </c>
      <c r="L18" s="47">
        <f>IF(K18=0,J18*B18,K18*B18)</f>
        <v>0</v>
      </c>
      <c r="M18" s="47">
        <f>IF(B18=0,0,(I18*$N$6)/(B18))</f>
        <v>0</v>
      </c>
      <c r="N18" s="49">
        <v>0</v>
      </c>
      <c r="O18" s="47">
        <f>(IF(N18=0,M18*B18,N18*B18))*LEFT(Term,1)</f>
        <v>0</v>
      </c>
      <c r="P18" s="47">
        <f>IF(B18=0,0,(I18/B18)+(L18/B18)+(O18/B18))</f>
        <v>0</v>
      </c>
      <c r="Q18" s="47">
        <f>P18*B18</f>
        <v>0</v>
      </c>
    </row>
    <row r="19" spans="2:17" ht="17" thickBot="1" x14ac:dyDescent="0.25">
      <c r="B19" s="51">
        <v>20</v>
      </c>
      <c r="C19" s="46" t="s">
        <v>39</v>
      </c>
      <c r="D19" s="46"/>
      <c r="E19" s="45"/>
      <c r="F19" s="45"/>
      <c r="G19" s="45"/>
      <c r="H19" s="45"/>
      <c r="I19" s="47">
        <f>(SUM(H20:H21))* (B19)</f>
        <v>16589.999999999996</v>
      </c>
      <c r="J19" s="47">
        <f>IF(B19=0,0,(I19*$K$6)/(B19))</f>
        <v>165.89999999999998</v>
      </c>
      <c r="K19" s="52">
        <v>150</v>
      </c>
      <c r="L19" s="47">
        <f>IF(K19=0,J19*B19,K19*B19)</f>
        <v>3000</v>
      </c>
      <c r="M19" s="47">
        <f>IF(B19=0,0,(I19*$N$6)/(B19))</f>
        <v>331.79999999999995</v>
      </c>
      <c r="N19" s="52">
        <v>120</v>
      </c>
      <c r="O19" s="47">
        <f>(IF(N19=0,M19*B19,N19*B19))*LEFT(Term,1)</f>
        <v>12000</v>
      </c>
      <c r="P19" s="47">
        <f>IF(B19=0,0,(I19/B19)+(L19/B19)+(O19/B19))</f>
        <v>1579.4999999999998</v>
      </c>
      <c r="Q19" s="47">
        <f>P19*B19</f>
        <v>31589.999999999996</v>
      </c>
    </row>
    <row r="20" spans="2:17" x14ac:dyDescent="0.2">
      <c r="B20" s="35">
        <v>1</v>
      </c>
      <c r="C20" s="35" t="s">
        <v>73</v>
      </c>
      <c r="D20" s="35" t="s">
        <v>74</v>
      </c>
      <c r="E20" s="36">
        <v>0.70000000000000007</v>
      </c>
      <c r="F20" s="50">
        <v>1965</v>
      </c>
      <c r="G20" s="37">
        <f>F20*(1-E20)</f>
        <v>589.49999999999989</v>
      </c>
      <c r="H20" s="37">
        <f>G20*B20</f>
        <v>589.49999999999989</v>
      </c>
      <c r="I20" s="37"/>
      <c r="J20" s="34"/>
      <c r="K20" s="34"/>
      <c r="L20" s="34"/>
      <c r="M20" s="34"/>
      <c r="N20" s="34"/>
      <c r="O20" s="34"/>
      <c r="P20" s="34"/>
      <c r="Q20" s="34"/>
    </row>
    <row r="21" spans="2:17" ht="17" thickBot="1" x14ac:dyDescent="0.25">
      <c r="B21" s="35">
        <v>1</v>
      </c>
      <c r="C21" s="35" t="s">
        <v>35</v>
      </c>
      <c r="D21" s="35" t="s">
        <v>36</v>
      </c>
      <c r="E21" s="36">
        <v>0.5</v>
      </c>
      <c r="F21" s="50">
        <v>480</v>
      </c>
      <c r="G21" s="37">
        <f>F21*(1-E21)</f>
        <v>240</v>
      </c>
      <c r="H21" s="37">
        <f>G21*B21</f>
        <v>240</v>
      </c>
      <c r="I21" s="37"/>
      <c r="J21" s="34"/>
      <c r="K21" s="34"/>
      <c r="L21" s="34"/>
      <c r="M21" s="34"/>
      <c r="N21" s="34"/>
      <c r="O21" s="34"/>
      <c r="P21" s="34"/>
      <c r="Q21" s="34"/>
    </row>
    <row r="22" spans="2:17" ht="17" thickBot="1" x14ac:dyDescent="0.25">
      <c r="B22" s="48">
        <v>1</v>
      </c>
      <c r="C22" s="46" t="s">
        <v>34</v>
      </c>
      <c r="D22" s="46"/>
      <c r="E22" s="45"/>
      <c r="F22" s="45"/>
      <c r="G22" s="45"/>
      <c r="H22" s="45"/>
      <c r="I22" s="47">
        <f>(SUM(H23:H27))* (B22)</f>
        <v>5</v>
      </c>
      <c r="J22" s="47">
        <f>IF(B22=0,0,(I22*$K$6)/(B22))</f>
        <v>1</v>
      </c>
      <c r="K22" s="49">
        <v>0</v>
      </c>
      <c r="L22" s="47">
        <f>IF(K22=0,J22*B22,K22*B22)</f>
        <v>1</v>
      </c>
      <c r="M22" s="47">
        <f>IF(B22=0,0,(I22*$N$6)/(B22))</f>
        <v>2</v>
      </c>
      <c r="N22" s="49">
        <v>0</v>
      </c>
      <c r="O22" s="47">
        <f>(IF(N22=0,M22*B22,N22*B22))*LEFT(Term,1)</f>
        <v>10</v>
      </c>
      <c r="P22" s="47">
        <f>IF(B22=0,0,(I22/B22)+(L22/B22)+(O22/B22))</f>
        <v>16</v>
      </c>
      <c r="Q22" s="47">
        <f>P22*B22</f>
        <v>16</v>
      </c>
    </row>
    <row r="23" spans="2:17" ht="17" thickBot="1" x14ac:dyDescent="0.25">
      <c r="B23" s="41">
        <v>1</v>
      </c>
      <c r="C23" s="38"/>
      <c r="D23" s="38" t="s">
        <v>88</v>
      </c>
      <c r="E23" s="39"/>
      <c r="F23" s="40">
        <v>5</v>
      </c>
      <c r="G23" s="37">
        <f>F23*(1-E23)</f>
        <v>5</v>
      </c>
      <c r="H23" s="37">
        <f>G23*B23</f>
        <v>5</v>
      </c>
      <c r="I23" s="37"/>
      <c r="J23" s="34"/>
      <c r="K23" s="34"/>
      <c r="L23" s="34"/>
      <c r="M23" s="34"/>
      <c r="N23" s="34"/>
      <c r="O23" s="34"/>
      <c r="P23" s="34"/>
      <c r="Q23" s="34"/>
    </row>
    <row r="24" spans="2:17" ht="17" thickBot="1" x14ac:dyDescent="0.25">
      <c r="B24" s="41"/>
      <c r="C24" s="42"/>
      <c r="D24" s="42"/>
      <c r="E24" s="43"/>
      <c r="F24" s="44"/>
      <c r="G24" s="37">
        <f>F24*(1-E24)</f>
        <v>0</v>
      </c>
      <c r="H24" s="37">
        <f>G24*B24</f>
        <v>0</v>
      </c>
      <c r="I24" s="37"/>
      <c r="J24" s="34"/>
      <c r="K24" s="34"/>
      <c r="L24" s="34"/>
      <c r="M24" s="34"/>
      <c r="N24" s="34"/>
      <c r="O24" s="34"/>
      <c r="P24" s="34"/>
      <c r="Q24" s="34"/>
    </row>
    <row r="25" spans="2:17" ht="17" thickBot="1" x14ac:dyDescent="0.25">
      <c r="B25" s="41"/>
      <c r="C25" s="42"/>
      <c r="D25" s="42"/>
      <c r="E25" s="43"/>
      <c r="F25" s="44"/>
      <c r="G25" s="37">
        <f>F25*(1-E25)</f>
        <v>0</v>
      </c>
      <c r="H25" s="37">
        <f>G25*B25</f>
        <v>0</v>
      </c>
      <c r="I25" s="37"/>
      <c r="J25" s="34"/>
      <c r="K25" s="34"/>
      <c r="L25" s="34"/>
      <c r="M25" s="34"/>
      <c r="N25" s="34"/>
      <c r="O25" s="34"/>
      <c r="P25" s="34"/>
      <c r="Q25" s="34"/>
    </row>
    <row r="26" spans="2:17" ht="17" thickBot="1" x14ac:dyDescent="0.25">
      <c r="B26" s="41"/>
      <c r="C26" s="42"/>
      <c r="D26" s="42"/>
      <c r="E26" s="43"/>
      <c r="F26" s="44"/>
      <c r="G26" s="37">
        <f>F26*(1-E26)</f>
        <v>0</v>
      </c>
      <c r="H26" s="37">
        <f>G26*B26</f>
        <v>0</v>
      </c>
      <c r="I26" s="37"/>
      <c r="J26" s="34"/>
      <c r="K26" s="34"/>
      <c r="L26" s="34"/>
      <c r="M26" s="34"/>
      <c r="N26" s="34"/>
      <c r="O26" s="34"/>
      <c r="P26" s="34"/>
      <c r="Q26" s="34"/>
    </row>
    <row r="27" spans="2:17" ht="17" thickBot="1" x14ac:dyDescent="0.25">
      <c r="B27" s="41"/>
      <c r="C27" s="42"/>
      <c r="D27" s="42"/>
      <c r="E27" s="43"/>
      <c r="F27" s="44"/>
      <c r="G27" s="37">
        <f>F27*(1-E27)</f>
        <v>0</v>
      </c>
      <c r="H27" s="37">
        <f>G27*B27</f>
        <v>0</v>
      </c>
      <c r="I27" s="37"/>
      <c r="J27" s="34"/>
      <c r="K27" s="34"/>
      <c r="L27" s="34"/>
      <c r="M27" s="34"/>
      <c r="N27" s="34"/>
      <c r="O27" s="34"/>
      <c r="P27" s="34"/>
      <c r="Q27" s="34"/>
    </row>
  </sheetData>
  <mergeCells count="6">
    <mergeCell ref="A1:Q2"/>
    <mergeCell ref="J3:L3"/>
    <mergeCell ref="M3:O3"/>
    <mergeCell ref="E8:I8"/>
    <mergeCell ref="J8:K8"/>
    <mergeCell ref="P8:Q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6665F-6D95-5140-B307-05642DAE9BAC}">
  <dimension ref="A1:Q29"/>
  <sheetViews>
    <sheetView workbookViewId="0">
      <selection activeCell="I41" sqref="I41"/>
    </sheetView>
  </sheetViews>
  <sheetFormatPr baseColWidth="10" defaultRowHeight="16" x14ac:dyDescent="0.2"/>
  <cols>
    <col min="1" max="1" width="5.83203125" style="1" customWidth="1"/>
    <col min="2" max="3" width="15.83203125" style="1" customWidth="1"/>
    <col min="4" max="4" width="45.83203125" style="1" customWidth="1"/>
    <col min="5" max="17" width="15.83203125" style="1" customWidth="1"/>
    <col min="18" max="16384" width="10.83203125" style="1"/>
  </cols>
  <sheetData>
    <row r="1" spans="1:17" x14ac:dyDescent="0.2">
      <c r="A1" s="66" t="s">
        <v>72</v>
      </c>
      <c r="B1" s="66"/>
      <c r="C1" s="66"/>
      <c r="D1" s="66"/>
      <c r="E1" s="66"/>
      <c r="F1" s="66"/>
      <c r="G1" s="66"/>
      <c r="H1" s="66"/>
      <c r="I1" s="66"/>
      <c r="J1" s="66"/>
      <c r="K1" s="66"/>
      <c r="L1" s="66"/>
      <c r="M1" s="66"/>
      <c r="N1" s="66"/>
      <c r="O1" s="66"/>
      <c r="P1" s="66"/>
      <c r="Q1" s="66"/>
    </row>
    <row r="2" spans="1:17" x14ac:dyDescent="0.2">
      <c r="A2" s="66"/>
      <c r="B2" s="66"/>
      <c r="C2" s="66"/>
      <c r="D2" s="66"/>
      <c r="E2" s="66"/>
      <c r="F2" s="66"/>
      <c r="G2" s="66"/>
      <c r="H2" s="66"/>
      <c r="I2" s="66"/>
      <c r="J2" s="66"/>
      <c r="K2" s="66"/>
      <c r="L2" s="66"/>
      <c r="M2" s="66"/>
      <c r="N2" s="66"/>
      <c r="O2" s="66"/>
      <c r="P2" s="66"/>
      <c r="Q2" s="66"/>
    </row>
    <row r="3" spans="1:17" x14ac:dyDescent="0.2">
      <c r="D3" s="2" t="s">
        <v>28</v>
      </c>
      <c r="E3" s="57">
        <f>SUM(I9:I2000)</f>
        <v>22476</v>
      </c>
      <c r="J3" s="67" t="s">
        <v>10</v>
      </c>
      <c r="K3" s="67"/>
      <c r="L3" s="67"/>
      <c r="M3" s="67" t="s">
        <v>7</v>
      </c>
      <c r="N3" s="67"/>
      <c r="O3" s="67"/>
    </row>
    <row r="4" spans="1:17" ht="17" thickBot="1" x14ac:dyDescent="0.25">
      <c r="D4" s="2" t="s">
        <v>29</v>
      </c>
      <c r="E4" s="57">
        <f>SUM(L9:L2000)</f>
        <v>4495.2</v>
      </c>
      <c r="J4" s="1" t="s">
        <v>31</v>
      </c>
      <c r="K4" s="53">
        <f>ImpPcnt</f>
        <v>0.2</v>
      </c>
      <c r="M4" s="1" t="s">
        <v>31</v>
      </c>
      <c r="N4" s="53">
        <f>OpPcntYr</f>
        <v>0.4</v>
      </c>
    </row>
    <row r="5" spans="1:17" ht="17" thickBot="1" x14ac:dyDescent="0.25">
      <c r="D5" s="2" t="s">
        <v>30</v>
      </c>
      <c r="E5" s="57">
        <f>SUM(O9:O2000)</f>
        <v>44952</v>
      </c>
      <c r="J5" s="1" t="s">
        <v>32</v>
      </c>
      <c r="K5" s="58">
        <v>0</v>
      </c>
      <c r="M5" s="1" t="s">
        <v>32</v>
      </c>
      <c r="N5" s="58">
        <v>0</v>
      </c>
    </row>
    <row r="6" spans="1:17" x14ac:dyDescent="0.2">
      <c r="J6" s="1" t="s">
        <v>33</v>
      </c>
      <c r="K6" s="53">
        <f>K5+K4</f>
        <v>0.2</v>
      </c>
      <c r="M6" s="1" t="s">
        <v>33</v>
      </c>
      <c r="N6" s="53">
        <f>N5+N4</f>
        <v>0.4</v>
      </c>
    </row>
    <row r="8" spans="1:17" s="4" customFormat="1" ht="17" thickBot="1" x14ac:dyDescent="0.25">
      <c r="E8" s="68" t="s">
        <v>2</v>
      </c>
      <c r="F8" s="68"/>
      <c r="G8" s="68"/>
      <c r="H8" s="68"/>
      <c r="I8" s="68"/>
      <c r="J8" s="68" t="s">
        <v>69</v>
      </c>
      <c r="K8" s="68"/>
      <c r="L8" s="4" t="s">
        <v>63</v>
      </c>
      <c r="M8" s="56" t="s">
        <v>64</v>
      </c>
      <c r="N8" s="56" t="s">
        <v>65</v>
      </c>
      <c r="O8" s="4" t="s">
        <v>63</v>
      </c>
      <c r="P8" s="68" t="s">
        <v>70</v>
      </c>
      <c r="Q8" s="68"/>
    </row>
    <row r="9" spans="1:17" s="4" customFormat="1" ht="17" thickBot="1" x14ac:dyDescent="0.25">
      <c r="B9" s="12" t="s">
        <v>57</v>
      </c>
      <c r="C9" s="11" t="s">
        <v>58</v>
      </c>
      <c r="D9" s="55" t="s">
        <v>1</v>
      </c>
      <c r="E9" s="12" t="s">
        <v>59</v>
      </c>
      <c r="F9" s="55" t="s">
        <v>60</v>
      </c>
      <c r="G9" s="55" t="s">
        <v>61</v>
      </c>
      <c r="H9" s="55" t="s">
        <v>62</v>
      </c>
      <c r="I9" s="55" t="s">
        <v>63</v>
      </c>
      <c r="J9" s="12" t="s">
        <v>64</v>
      </c>
      <c r="K9" s="55" t="s">
        <v>65</v>
      </c>
      <c r="L9" s="55" t="s">
        <v>66</v>
      </c>
      <c r="M9" s="12" t="s">
        <v>67</v>
      </c>
      <c r="N9" s="55" t="s">
        <v>67</v>
      </c>
      <c r="O9" s="10" t="s">
        <v>7</v>
      </c>
      <c r="P9" s="55" t="s">
        <v>3</v>
      </c>
      <c r="Q9" s="10" t="s">
        <v>68</v>
      </c>
    </row>
    <row r="10" spans="1:17" ht="17" thickBot="1" x14ac:dyDescent="0.25">
      <c r="B10" s="69">
        <v>1</v>
      </c>
      <c r="C10" s="46" t="s">
        <v>55</v>
      </c>
      <c r="D10" s="46"/>
      <c r="E10" s="45"/>
      <c r="F10" s="45"/>
      <c r="G10" s="45"/>
      <c r="H10" s="45"/>
      <c r="I10" s="47">
        <f>(SUM(H11:H12))* (B10)</f>
        <v>3569.25</v>
      </c>
      <c r="J10" s="47">
        <f>IF(B10=0,0,(I10*$K$6)/(B10))</f>
        <v>713.85</v>
      </c>
      <c r="K10" s="54">
        <v>0</v>
      </c>
      <c r="L10" s="47">
        <f>IF(K10=0,J10*B10,K10*B10)</f>
        <v>713.85</v>
      </c>
      <c r="M10" s="47">
        <f>IF(B10=0,0,(I10*$N$6)/(B10))</f>
        <v>1427.7</v>
      </c>
      <c r="N10" s="54">
        <v>0</v>
      </c>
      <c r="O10" s="47">
        <f>(IF(N10=0,M10*B10,N10*B10))*LEFT(Term,1)</f>
        <v>7138.5</v>
      </c>
      <c r="P10" s="47">
        <f>IF(B10=0,0,(I10/B10)+(L10/B10)+(O10/B10))</f>
        <v>11421.6</v>
      </c>
      <c r="Q10" s="47">
        <f>P10*B10</f>
        <v>11421.6</v>
      </c>
    </row>
    <row r="11" spans="1:17" x14ac:dyDescent="0.2">
      <c r="B11" s="35">
        <v>1</v>
      </c>
      <c r="C11" s="35" t="s">
        <v>55</v>
      </c>
      <c r="D11" s="35" t="s">
        <v>56</v>
      </c>
      <c r="E11" s="36">
        <v>0.75</v>
      </c>
      <c r="F11" s="50">
        <v>12095</v>
      </c>
      <c r="G11" s="37">
        <f>F11*(1-E11)</f>
        <v>3023.75</v>
      </c>
      <c r="H11" s="37">
        <f>G11*B11</f>
        <v>3023.75</v>
      </c>
      <c r="I11" s="37"/>
      <c r="J11" s="34"/>
      <c r="K11" s="34"/>
      <c r="L11" s="34"/>
      <c r="M11" s="34"/>
      <c r="N11" s="34"/>
      <c r="O11" s="34"/>
      <c r="P11" s="34"/>
      <c r="Q11" s="34"/>
    </row>
    <row r="12" spans="1:17" ht="17" thickBot="1" x14ac:dyDescent="0.25">
      <c r="B12" s="35">
        <v>1</v>
      </c>
      <c r="C12" s="35" t="s">
        <v>53</v>
      </c>
      <c r="D12" s="35" t="s">
        <v>54</v>
      </c>
      <c r="E12" s="36">
        <v>0.5</v>
      </c>
      <c r="F12" s="50">
        <v>1091</v>
      </c>
      <c r="G12" s="37">
        <f>F12*(1-E12)</f>
        <v>545.5</v>
      </c>
      <c r="H12" s="37">
        <f>G12*B12</f>
        <v>545.5</v>
      </c>
      <c r="I12" s="37"/>
      <c r="J12" s="34"/>
      <c r="K12" s="34"/>
      <c r="L12" s="34"/>
      <c r="M12" s="34"/>
      <c r="N12" s="34"/>
      <c r="O12" s="34"/>
      <c r="P12" s="34"/>
      <c r="Q12" s="34"/>
    </row>
    <row r="13" spans="1:17" ht="17" thickBot="1" x14ac:dyDescent="0.25">
      <c r="B13" s="48">
        <v>1</v>
      </c>
      <c r="C13" s="46" t="s">
        <v>52</v>
      </c>
      <c r="D13" s="46"/>
      <c r="E13" s="45"/>
      <c r="F13" s="45"/>
      <c r="G13" s="45"/>
      <c r="H13" s="45"/>
      <c r="I13" s="47">
        <f>(SUM(H14:H19))* (B13)</f>
        <v>18077.25</v>
      </c>
      <c r="J13" s="47">
        <f>IF(B13=0,0,(I13*$K$6)/(B13))</f>
        <v>3615.4500000000003</v>
      </c>
      <c r="K13" s="49">
        <v>0</v>
      </c>
      <c r="L13" s="47">
        <f>IF(K13=0,J13*B13,K13*B13)</f>
        <v>3615.4500000000003</v>
      </c>
      <c r="M13" s="47">
        <f>IF(B13=0,0,(I13*$N$6)/(B13))</f>
        <v>7230.9000000000005</v>
      </c>
      <c r="N13" s="49">
        <v>0</v>
      </c>
      <c r="O13" s="47">
        <f>(IF(N13=0,M13*B13,N13*B13))*LEFT(Term,1)</f>
        <v>36154.5</v>
      </c>
      <c r="P13" s="47">
        <f>IF(B13=0,0,(I13/B13)+(L13/B13)+(O13/B13))</f>
        <v>57847.199999999997</v>
      </c>
      <c r="Q13" s="47">
        <f>P13*B13</f>
        <v>57847.199999999997</v>
      </c>
    </row>
    <row r="14" spans="1:17" x14ac:dyDescent="0.2">
      <c r="B14" s="35">
        <v>2</v>
      </c>
      <c r="C14" s="35" t="s">
        <v>50</v>
      </c>
      <c r="D14" s="35" t="s">
        <v>51</v>
      </c>
      <c r="E14" s="36">
        <v>0.70000000000000007</v>
      </c>
      <c r="F14" s="50">
        <v>4700</v>
      </c>
      <c r="G14" s="37">
        <f>F14*(1-E14)</f>
        <v>1409.9999999999998</v>
      </c>
      <c r="H14" s="37">
        <f>G14*B14</f>
        <v>2819.9999999999995</v>
      </c>
      <c r="I14" s="37"/>
      <c r="J14" s="34"/>
      <c r="K14" s="34"/>
      <c r="L14" s="34"/>
      <c r="M14" s="34"/>
      <c r="N14" s="34"/>
      <c r="O14" s="34"/>
      <c r="P14" s="34"/>
      <c r="Q14" s="34"/>
    </row>
    <row r="15" spans="1:17" x14ac:dyDescent="0.2">
      <c r="B15" s="35">
        <v>1</v>
      </c>
      <c r="C15" s="35" t="s">
        <v>48</v>
      </c>
      <c r="D15" s="35" t="s">
        <v>49</v>
      </c>
      <c r="E15" s="36">
        <v>0.75</v>
      </c>
      <c r="F15" s="50">
        <v>20974</v>
      </c>
      <c r="G15" s="37">
        <f>F15*(1-E15)</f>
        <v>5243.5</v>
      </c>
      <c r="H15" s="37">
        <f>G15*B15</f>
        <v>5243.5</v>
      </c>
      <c r="I15" s="37"/>
      <c r="J15" s="34"/>
      <c r="K15" s="34"/>
      <c r="L15" s="34"/>
      <c r="M15" s="34"/>
      <c r="N15" s="34"/>
      <c r="O15" s="34"/>
      <c r="P15" s="34"/>
      <c r="Q15" s="34"/>
    </row>
    <row r="16" spans="1:17" x14ac:dyDescent="0.2">
      <c r="B16" s="35">
        <v>1</v>
      </c>
      <c r="C16" s="35" t="s">
        <v>46</v>
      </c>
      <c r="D16" s="35" t="s">
        <v>47</v>
      </c>
      <c r="E16" s="36">
        <v>0.75</v>
      </c>
      <c r="F16" s="50">
        <v>10487</v>
      </c>
      <c r="G16" s="37">
        <f>F16*(1-E16)</f>
        <v>2621.75</v>
      </c>
      <c r="H16" s="37">
        <f>G16*B16</f>
        <v>2621.75</v>
      </c>
      <c r="I16" s="37"/>
      <c r="J16" s="34"/>
      <c r="K16" s="34"/>
      <c r="L16" s="34"/>
      <c r="M16" s="34"/>
      <c r="N16" s="34"/>
      <c r="O16" s="34"/>
      <c r="P16" s="34"/>
      <c r="Q16" s="34"/>
    </row>
    <row r="17" spans="2:17" x14ac:dyDescent="0.2">
      <c r="B17" s="35">
        <v>1</v>
      </c>
      <c r="C17" s="35" t="s">
        <v>44</v>
      </c>
      <c r="D17" s="35" t="s">
        <v>45</v>
      </c>
      <c r="E17" s="36">
        <v>0.5</v>
      </c>
      <c r="F17" s="50">
        <v>6292</v>
      </c>
      <c r="G17" s="37">
        <f>F17*(1-E17)</f>
        <v>3146</v>
      </c>
      <c r="H17" s="37">
        <f>G17*B17</f>
        <v>3146</v>
      </c>
      <c r="I17" s="37"/>
      <c r="J17" s="34"/>
      <c r="K17" s="34"/>
      <c r="L17" s="34"/>
      <c r="M17" s="34"/>
      <c r="N17" s="34"/>
      <c r="O17" s="34"/>
      <c r="P17" s="34"/>
      <c r="Q17" s="34"/>
    </row>
    <row r="18" spans="2:17" x14ac:dyDescent="0.2">
      <c r="B18" s="35">
        <v>1</v>
      </c>
      <c r="C18" s="35" t="s">
        <v>42</v>
      </c>
      <c r="D18" s="35" t="s">
        <v>43</v>
      </c>
      <c r="E18" s="36">
        <v>0</v>
      </c>
      <c r="F18" s="50">
        <v>3146</v>
      </c>
      <c r="G18" s="37">
        <f>F18*(1-E18)</f>
        <v>3146</v>
      </c>
      <c r="H18" s="37">
        <f>G18*B18</f>
        <v>3146</v>
      </c>
      <c r="I18" s="37"/>
      <c r="J18" s="34"/>
      <c r="K18" s="34"/>
      <c r="L18" s="34"/>
      <c r="M18" s="34"/>
      <c r="N18" s="34"/>
      <c r="O18" s="34"/>
      <c r="P18" s="34"/>
      <c r="Q18" s="34"/>
    </row>
    <row r="19" spans="2:17" ht="17" thickBot="1" x14ac:dyDescent="0.25">
      <c r="B19" s="35">
        <v>1</v>
      </c>
      <c r="C19" s="35" t="s">
        <v>40</v>
      </c>
      <c r="D19" s="35" t="s">
        <v>41</v>
      </c>
      <c r="E19" s="36">
        <v>0.5</v>
      </c>
      <c r="F19" s="50">
        <v>2200</v>
      </c>
      <c r="G19" s="37">
        <f>F19*(1-E19)</f>
        <v>1100</v>
      </c>
      <c r="H19" s="37">
        <f>G19*B19</f>
        <v>1100</v>
      </c>
      <c r="I19" s="37"/>
      <c r="J19" s="34"/>
      <c r="K19" s="34"/>
      <c r="L19" s="34"/>
      <c r="M19" s="34"/>
      <c r="N19" s="34"/>
      <c r="O19" s="34"/>
      <c r="P19" s="34"/>
      <c r="Q19" s="34"/>
    </row>
    <row r="20" spans="2:17" ht="17" thickBot="1" x14ac:dyDescent="0.25">
      <c r="B20" s="48">
        <v>1</v>
      </c>
      <c r="C20" s="46" t="s">
        <v>39</v>
      </c>
      <c r="D20" s="46"/>
      <c r="E20" s="45"/>
      <c r="F20" s="45"/>
      <c r="G20" s="45"/>
      <c r="H20" s="45"/>
      <c r="I20" s="47">
        <f>(SUM(H20:H21))* (B20)</f>
        <v>0</v>
      </c>
      <c r="J20" s="47">
        <f>IF(B20=0,0,(I20*$K$6)/(B20))</f>
        <v>0</v>
      </c>
      <c r="K20" s="49">
        <v>0</v>
      </c>
      <c r="L20" s="47">
        <f>IF(K20=0,J20*B20,K20*B20)</f>
        <v>0</v>
      </c>
      <c r="M20" s="47">
        <f>IF(B20=0,0,(I20*$N$6)/(B20))</f>
        <v>0</v>
      </c>
      <c r="N20" s="49">
        <v>0</v>
      </c>
      <c r="O20" s="47">
        <f>(IF(N20=0,M20*B20,N20*B20))*LEFT(Term,1)</f>
        <v>0</v>
      </c>
      <c r="P20" s="47">
        <f>IF(B20=0,0,(I20/B20)+(L20/B20)+(O20/B20))</f>
        <v>0</v>
      </c>
      <c r="Q20" s="47">
        <f>P20*B20</f>
        <v>0</v>
      </c>
    </row>
    <row r="21" spans="2:17" ht="17" thickBot="1" x14ac:dyDescent="0.25">
      <c r="B21" s="51">
        <v>1</v>
      </c>
      <c r="C21" s="46" t="s">
        <v>39</v>
      </c>
      <c r="D21" s="46"/>
      <c r="E21" s="45"/>
      <c r="F21" s="45"/>
      <c r="G21" s="45"/>
      <c r="H21" s="45"/>
      <c r="I21" s="47">
        <f>(SUM(H22:H23))* (B21)</f>
        <v>829.49999999999989</v>
      </c>
      <c r="J21" s="47">
        <f>IF(B21=0,0,(I21*$K$6)/(B21))</f>
        <v>165.89999999999998</v>
      </c>
      <c r="K21" s="52">
        <v>0</v>
      </c>
      <c r="L21" s="47">
        <f>IF(K21=0,J21*B21,K21*B21)</f>
        <v>165.89999999999998</v>
      </c>
      <c r="M21" s="47">
        <f>IF(B21=0,0,(I21*$N$6)/(B21))</f>
        <v>331.79999999999995</v>
      </c>
      <c r="N21" s="52">
        <v>0</v>
      </c>
      <c r="O21" s="47">
        <f>(IF(N21=0,M21*B21,N21*B21))*LEFT(Term,1)</f>
        <v>1658.9999999999998</v>
      </c>
      <c r="P21" s="47">
        <f>IF(B21=0,0,(I21/B21)+(L21/B21)+(O21/B21))</f>
        <v>2654.3999999999996</v>
      </c>
      <c r="Q21" s="47">
        <f>P21*B21</f>
        <v>2654.3999999999996</v>
      </c>
    </row>
    <row r="22" spans="2:17" x14ac:dyDescent="0.2">
      <c r="B22" s="35">
        <v>1</v>
      </c>
      <c r="C22" s="35" t="s">
        <v>37</v>
      </c>
      <c r="D22" s="35" t="s">
        <v>38</v>
      </c>
      <c r="E22" s="36">
        <v>0.70000000000000007</v>
      </c>
      <c r="F22" s="50">
        <v>1965</v>
      </c>
      <c r="G22" s="37">
        <f>F22*(1-E22)</f>
        <v>589.49999999999989</v>
      </c>
      <c r="H22" s="37">
        <f>G22*B22</f>
        <v>589.49999999999989</v>
      </c>
      <c r="I22" s="37"/>
      <c r="J22" s="34"/>
      <c r="K22" s="34"/>
      <c r="L22" s="34"/>
      <c r="M22" s="34"/>
      <c r="N22" s="34"/>
      <c r="O22" s="34"/>
      <c r="P22" s="34"/>
      <c r="Q22" s="34"/>
    </row>
    <row r="23" spans="2:17" ht="17" thickBot="1" x14ac:dyDescent="0.25">
      <c r="B23" s="35">
        <v>1</v>
      </c>
      <c r="C23" s="35" t="s">
        <v>35</v>
      </c>
      <c r="D23" s="35" t="s">
        <v>36</v>
      </c>
      <c r="E23" s="36">
        <v>0.5</v>
      </c>
      <c r="F23" s="50">
        <v>480</v>
      </c>
      <c r="G23" s="37">
        <f>F23*(1-E23)</f>
        <v>240</v>
      </c>
      <c r="H23" s="37">
        <f>G23*B23</f>
        <v>240</v>
      </c>
      <c r="I23" s="37"/>
      <c r="J23" s="34"/>
      <c r="K23" s="34"/>
      <c r="L23" s="34"/>
      <c r="M23" s="34"/>
      <c r="N23" s="34"/>
      <c r="O23" s="34"/>
      <c r="P23" s="34"/>
      <c r="Q23" s="34"/>
    </row>
    <row r="24" spans="2:17" ht="17" thickBot="1" x14ac:dyDescent="0.25">
      <c r="B24" s="48">
        <v>1</v>
      </c>
      <c r="C24" s="46" t="s">
        <v>34</v>
      </c>
      <c r="D24" s="46"/>
      <c r="E24" s="45"/>
      <c r="F24" s="45"/>
      <c r="G24" s="45"/>
      <c r="H24" s="45"/>
      <c r="I24" s="47">
        <f>(SUM(H25:H29))* (B24)</f>
        <v>0</v>
      </c>
      <c r="J24" s="47">
        <f>IF(B24=0,0,(I24*$K$6)/(B24))</f>
        <v>0</v>
      </c>
      <c r="K24" s="49">
        <v>0</v>
      </c>
      <c r="L24" s="47">
        <f>IF(K24=0,J24*B24,K24*B24)</f>
        <v>0</v>
      </c>
      <c r="M24" s="47">
        <f>IF(B24=0,0,(I24*$N$6)/(B24))</f>
        <v>0</v>
      </c>
      <c r="N24" s="49">
        <v>0</v>
      </c>
      <c r="O24" s="47">
        <f>(IF(N24=0,M24*B24,N24*B24))*LEFT(Term,1)</f>
        <v>0</v>
      </c>
      <c r="P24" s="47">
        <f>IF(B24=0,0,(I24/B24)+(L24/B24)+(O24/B24))</f>
        <v>0</v>
      </c>
      <c r="Q24" s="47">
        <f>P24*B24</f>
        <v>0</v>
      </c>
    </row>
    <row r="25" spans="2:17" ht="17" thickBot="1" x14ac:dyDescent="0.25">
      <c r="B25" s="41"/>
      <c r="C25" s="38"/>
      <c r="D25" s="38"/>
      <c r="E25" s="39"/>
      <c r="F25" s="40"/>
      <c r="G25" s="37">
        <f>F25*(1-E25)</f>
        <v>0</v>
      </c>
      <c r="H25" s="37">
        <f>G25*B25</f>
        <v>0</v>
      </c>
      <c r="I25" s="37"/>
      <c r="J25" s="34"/>
      <c r="K25" s="34"/>
      <c r="L25" s="34"/>
      <c r="M25" s="34"/>
      <c r="N25" s="34"/>
      <c r="O25" s="34"/>
      <c r="P25" s="34"/>
      <c r="Q25" s="34"/>
    </row>
    <row r="26" spans="2:17" ht="17" thickBot="1" x14ac:dyDescent="0.25">
      <c r="B26" s="41"/>
      <c r="C26" s="42"/>
      <c r="D26" s="42"/>
      <c r="E26" s="43"/>
      <c r="F26" s="44"/>
      <c r="G26" s="37">
        <f>F26*(1-E26)</f>
        <v>0</v>
      </c>
      <c r="H26" s="37">
        <f>G26*B26</f>
        <v>0</v>
      </c>
      <c r="I26" s="37"/>
      <c r="J26" s="34"/>
      <c r="K26" s="34"/>
      <c r="L26" s="34"/>
      <c r="M26" s="34"/>
      <c r="N26" s="34"/>
      <c r="O26" s="34"/>
      <c r="P26" s="34"/>
      <c r="Q26" s="34"/>
    </row>
    <row r="27" spans="2:17" ht="17" thickBot="1" x14ac:dyDescent="0.25">
      <c r="B27" s="41"/>
      <c r="C27" s="42"/>
      <c r="D27" s="42"/>
      <c r="E27" s="43"/>
      <c r="F27" s="44"/>
      <c r="G27" s="37">
        <f>F27*(1-E27)</f>
        <v>0</v>
      </c>
      <c r="H27" s="37">
        <f>G27*B27</f>
        <v>0</v>
      </c>
      <c r="I27" s="37"/>
      <c r="J27" s="34"/>
      <c r="K27" s="34"/>
      <c r="L27" s="34"/>
      <c r="M27" s="34"/>
      <c r="N27" s="34"/>
      <c r="O27" s="34"/>
      <c r="P27" s="34"/>
      <c r="Q27" s="34"/>
    </row>
    <row r="28" spans="2:17" ht="17" thickBot="1" x14ac:dyDescent="0.25">
      <c r="B28" s="41"/>
      <c r="C28" s="42"/>
      <c r="D28" s="42"/>
      <c r="E28" s="43"/>
      <c r="F28" s="44"/>
      <c r="G28" s="37">
        <f>F28*(1-E28)</f>
        <v>0</v>
      </c>
      <c r="H28" s="37">
        <f>G28*B28</f>
        <v>0</v>
      </c>
      <c r="I28" s="37"/>
      <c r="J28" s="34"/>
      <c r="K28" s="34"/>
      <c r="L28" s="34"/>
      <c r="M28" s="34"/>
      <c r="N28" s="34"/>
      <c r="O28" s="34"/>
      <c r="P28" s="34"/>
      <c r="Q28" s="34"/>
    </row>
    <row r="29" spans="2:17" ht="17" thickBot="1" x14ac:dyDescent="0.25">
      <c r="B29" s="41"/>
      <c r="C29" s="42"/>
      <c r="D29" s="42"/>
      <c r="E29" s="43"/>
      <c r="F29" s="44"/>
      <c r="G29" s="37">
        <f>F29*(1-E29)</f>
        <v>0</v>
      </c>
      <c r="H29" s="37">
        <f>G29*B29</f>
        <v>0</v>
      </c>
      <c r="I29" s="37"/>
      <c r="J29" s="34"/>
      <c r="K29" s="34"/>
      <c r="L29" s="34"/>
      <c r="M29" s="34"/>
      <c r="N29" s="34"/>
      <c r="O29" s="34"/>
      <c r="P29" s="34"/>
      <c r="Q29" s="34"/>
    </row>
  </sheetData>
  <mergeCells count="6">
    <mergeCell ref="A1:Q2"/>
    <mergeCell ref="J3:L3"/>
    <mergeCell ref="M3:O3"/>
    <mergeCell ref="E8:I8"/>
    <mergeCell ref="J8:K8"/>
    <mergeCell ref="P8:Q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Summary</vt:lpstr>
      <vt:lpstr>Sheet2</vt:lpstr>
      <vt:lpstr>Sheet1</vt:lpstr>
      <vt:lpstr>Economies</vt:lpstr>
      <vt:lpstr>ImpPcnt</vt:lpstr>
      <vt:lpstr>Margin</vt:lpstr>
      <vt:lpstr>MarginEquipment</vt:lpstr>
      <vt:lpstr>MarginInstall</vt:lpstr>
      <vt:lpstr>MRC</vt:lpstr>
      <vt:lpstr>MRR</vt:lpstr>
      <vt:lpstr>OpPcntYr</vt:lpstr>
      <vt:lpstr>PMPcnt</vt:lpstr>
      <vt:lpstr>Term</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Fitzgerald</dc:creator>
  <cp:lastModifiedBy>Pete Fitzgerald</cp:lastModifiedBy>
  <dcterms:created xsi:type="dcterms:W3CDTF">2023-06-06T23:31:35Z</dcterms:created>
  <dcterms:modified xsi:type="dcterms:W3CDTF">2025-01-09T18:45:47Z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633b888-ae0d-4341-a75f-06e04137d755_Enabled">
    <vt:lpwstr>true</vt:lpwstr>
  </property>
  <property fmtid="{D5CDD505-2E9C-101B-9397-08002B2CF9AE}" pid="3" name="MSIP_Label_0633b888-ae0d-4341-a75f-06e04137d755_SetDate">
    <vt:lpwstr>2023-06-07T14:54:16Z</vt:lpwstr>
  </property>
  <property fmtid="{D5CDD505-2E9C-101B-9397-08002B2CF9AE}" pid="4" name="MSIP_Label_0633b888-ae0d-4341-a75f-06e04137d755_Method">
    <vt:lpwstr>Standard</vt:lpwstr>
  </property>
  <property fmtid="{D5CDD505-2E9C-101B-9397-08002B2CF9AE}" pid="5" name="MSIP_Label_0633b888-ae0d-4341-a75f-06e04137d755_Name">
    <vt:lpwstr>0633b888-ae0d-4341-a75f-06e04137d755</vt:lpwstr>
  </property>
  <property fmtid="{D5CDD505-2E9C-101B-9397-08002B2CF9AE}" pid="6" name="MSIP_Label_0633b888-ae0d-4341-a75f-06e04137d755_SiteId">
    <vt:lpwstr>bea78b3c-4cdb-4130-854a-1d193232e5f4</vt:lpwstr>
  </property>
  <property fmtid="{D5CDD505-2E9C-101B-9397-08002B2CF9AE}" pid="7" name="MSIP_Label_0633b888-ae0d-4341-a75f-06e04137d755_ActionId">
    <vt:lpwstr>fa1a9061-3b3a-44f3-876b-4dd03400760d</vt:lpwstr>
  </property>
  <property fmtid="{D5CDD505-2E9C-101B-9397-08002B2CF9AE}" pid="8" name="MSIP_Label_0633b888-ae0d-4341-a75f-06e04137d755_ContentBits">
    <vt:lpwstr>2</vt:lpwstr>
  </property>
</Properties>
</file>